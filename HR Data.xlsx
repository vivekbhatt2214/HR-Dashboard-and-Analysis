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ata Analyst\HR Dashboard Files\"/>
    </mc:Choice>
  </mc:AlternateContent>
  <xr:revisionPtr revIDLastSave="0" documentId="13_ncr:1_{19DECDD3-3A6A-4F07-A6E4-19E6A51681F3}" xr6:coauthVersionLast="47" xr6:coauthVersionMax="47" xr10:uidLastSave="{00000000-0000-0000-0000-000000000000}"/>
  <bookViews>
    <workbookView xWindow="-120" yWindow="-120" windowWidth="29040" windowHeight="15720" activeTab="2" xr2:uid="{408BA6AB-5196-496B-9C80-B057CC378CDA}"/>
  </bookViews>
  <sheets>
    <sheet name="Pivot Table" sheetId="4" r:id="rId1"/>
    <sheet name="Data" sheetId="1" r:id="rId2"/>
    <sheet name="Dashboard" sheetId="2" r:id="rId3"/>
  </sheets>
  <definedNames>
    <definedName name="Slicer_Department">#N/A</definedName>
    <definedName name="Slicer_Gender">#N/A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4" l="1"/>
  <c r="J21" i="4"/>
  <c r="J18" i="4"/>
  <c r="P13" i="4"/>
  <c r="J17" i="4"/>
  <c r="B10" i="4"/>
  <c r="J14" i="4"/>
  <c r="P11" i="4"/>
  <c r="B11" i="4"/>
  <c r="J20" i="4"/>
  <c r="J16" i="4"/>
  <c r="B13" i="4"/>
  <c r="B12" i="4"/>
  <c r="P12" i="4"/>
  <c r="J15" i="4"/>
  <c r="J13" i="4"/>
  <c r="AA13" i="4"/>
  <c r="AA14" i="4"/>
  <c r="AA15" i="4"/>
  <c r="AA16" i="4"/>
  <c r="AA12" i="4"/>
  <c r="X17" i="4"/>
  <c r="X15" i="4"/>
  <c r="X13" i="4"/>
  <c r="X14" i="4"/>
  <c r="X16" i="4"/>
  <c r="X12" i="4"/>
  <c r="G16" i="4"/>
  <c r="G12" i="4"/>
  <c r="G13" i="4"/>
  <c r="G14" i="4"/>
  <c r="G15" i="4"/>
  <c r="G11" i="4"/>
  <c r="F12" i="4"/>
  <c r="F13" i="4"/>
  <c r="F16" i="4"/>
  <c r="F14" i="4"/>
  <c r="F15" i="4"/>
  <c r="F11" i="4"/>
  <c r="L21" i="4"/>
  <c r="L20" i="4"/>
  <c r="J22" i="4"/>
  <c r="U13" i="4"/>
  <c r="U14" i="4"/>
  <c r="U15" i="4"/>
  <c r="U16" i="4"/>
  <c r="U12" i="4"/>
  <c r="AA17" i="4" l="1"/>
  <c r="Q12" i="4"/>
  <c r="R12" i="4"/>
  <c r="R11" i="4"/>
  <c r="Q13" i="4"/>
  <c r="R13" i="4"/>
  <c r="Q11" i="4"/>
  <c r="K20" i="4"/>
  <c r="K21" i="4"/>
</calcChain>
</file>

<file path=xl/sharedStrings.xml><?xml version="1.0" encoding="utf-8"?>
<sst xmlns="http://schemas.openxmlformats.org/spreadsheetml/2006/main" count="876" uniqueCount="229">
  <si>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</si>
  <si>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</si>
  <si>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</si>
  <si>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</si>
  <si>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</si>
  <si>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</si>
  <si>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</si>
  <si>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</si>
  <si>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</si>
  <si>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</si>
  <si>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</si>
  <si>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</si>
  <si>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</si>
  <si>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</si>
  <si>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</si>
  <si>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</si>
  <si>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</si>
  <si>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</si>
  <si>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</si>
  <si>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</si>
  <si>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</si>
  <si>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</si>
  <si>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</si>
  <si>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</si>
  <si>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</si>
  <si>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</si>
  <si>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</si>
  <si>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</si>
  <si>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</si>
  <si>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</si>
  <si>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</si>
  <si>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</si>
  <si>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</si>
  <si>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</si>
  <si>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</si>
  <si>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</si>
  <si>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</si>
  <si>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</si>
  <si>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</si>
  <si>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</si>
  <si>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</si>
  <si>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</si>
  <si>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</si>
  <si>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</si>
  <si>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</si>
  <si>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</si>
  <si>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</si>
  <si>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</si>
  <si>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</si>
  <si>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</si>
  <si>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</si>
  <si>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</si>
  <si>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</si>
  <si>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</si>
  <si>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</si>
  <si>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</si>
  <si>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</si>
  <si>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</si>
  <si>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</si>
  <si>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</si>
  <si>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</si>
  <si>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</si>
  <si>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</si>
  <si>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</si>
  <si>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</si>
  <si>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</si>
  <si>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</si>
  <si>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</si>
  <si>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</si>
  <si>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</si>
  <si>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</si>
  <si>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</si>
  <si>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</si>
  <si>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</si>
  <si>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</si>
  <si>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</si>
  <si>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</si>
  <si>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</si>
  <si>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</si>
  <si>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</si>
  <si>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</si>
  <si>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</si>
  <si>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</si>
  <si>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</si>
  <si>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</si>
  <si>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</si>
  <si>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</si>
  <si>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</si>
  <si>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</si>
  <si>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</si>
  <si>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</si>
  <si>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</si>
  <si>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</si>
  <si>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</si>
  <si>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</si>
  <si>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</si>
  <si>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</si>
  <si>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</si>
  <si>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</si>
  <si>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</si>
  <si>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</si>
  <si>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</si>
  <si>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</si>
  <si>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</si>
  <si>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</si>
  <si>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</si>
  <si>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</si>
  <si>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</si>
  <si>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</si>
  <si>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</si>
  <si>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</si>
  <si>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</si>
  <si>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</si>
  <si>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</si>
  <si>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</si>
  <si>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</si>
  <si>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</si>
  <si>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</si>
  <si>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</si>
  <si>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</si>
  <si>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</si>
  <si>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</si>
  <si>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</si>
  <si>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</si>
  <si>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</si>
  <si>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</si>
  <si>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</si>
  <si>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</si>
  <si>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</si>
  <si>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</si>
  <si>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</si>
  <si>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</si>
  <si>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</si>
  <si>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</si>
  <si>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</si>
  <si>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</si>
  <si>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</si>
  <si>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</si>
  <si>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</si>
  <si>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</si>
  <si>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</si>
  <si>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</si>
  <si>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</si>
  <si>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</si>
  <si>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</si>
  <si>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</si>
  <si>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</si>
  <si>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</si>
  <si>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</si>
  <si>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</si>
  <si>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</si>
  <si>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</si>
  <si>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</si>
  <si>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</si>
  <si>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</si>
  <si>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</si>
  <si>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</si>
  <si>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</si>
  <si>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</si>
  <si>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</si>
  <si>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</si>
  <si>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</si>
  <si>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</si>
  <si>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</si>
  <si>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</si>
  <si>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</si>
  <si>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</si>
  <si>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</si>
  <si>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</si>
  <si>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</si>
  <si>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</si>
  <si>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</si>
  <si>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</si>
  <si>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</si>
  <si>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</si>
  <si>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</si>
  <si>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</si>
  <si>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</si>
  <si>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</si>
  <si>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</si>
  <si>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</si>
  <si>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</si>
  <si>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</si>
  <si>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</si>
  <si>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</si>
  <si>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</si>
  <si>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</si>
  <si>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</si>
  <si>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</si>
  <si>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</si>
  <si>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</si>
  <si>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</si>
  <si>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</si>
  <si>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</si>
  <si>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</si>
  <si>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</si>
  <si>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</si>
  <si>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</si>
  <si>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</si>
  <si>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</si>
  <si>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</si>
  <si>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</si>
  <si>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</si>
  <si>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</si>
  <si>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</si>
  <si>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</si>
  <si>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</si>
  <si>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</si>
  <si>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</si>
  <si>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</si>
  <si>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</si>
  <si>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</si>
  <si>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</si>
  <si>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</si>
  <si>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</si>
  <si>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</si>
  <si>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</si>
  <si>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Number of employees to employment status</t>
  </si>
  <si>
    <t>Total</t>
  </si>
  <si>
    <t>Sum of Salary</t>
  </si>
  <si>
    <t>Salaries by Department</t>
  </si>
  <si>
    <t>Column Labels</t>
  </si>
  <si>
    <t>Age range by Gender</t>
  </si>
  <si>
    <t>Work Place</t>
  </si>
  <si>
    <t>(blank)</t>
  </si>
  <si>
    <t>Sum of Leave Taken</t>
  </si>
  <si>
    <t>Regions</t>
  </si>
  <si>
    <t>Departments</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</si>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</sst>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3"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b/>
      <sz val="11"/>
      <color theme="0"/>
      <name val="Aptos Narrow"/>
      <family val="2"/>
      <scheme val="minor"/>
    </font>
    <font>
      <sz val="11"/>
      <color theme="1"/>
      <name val="Aptos Narrow"/>
      <family val="2"/>
      <scheme val="minor"/>
    </font>
    <font>
      <b/>
      <sz val="11"/>
      <color theme="1"/>
      <name val="Aptos Narrow"/>
      <family val="2"/>
      <scheme val="minor"/>
    </font>
    <font>
      <b/>
      <sz val="11"/>
      <color theme="0" tint="-4.9989318521683403E-2"/>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tint="0.249977111117893"/>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5" fillId="0" borderId="0" applyFont="0" applyFill="0" applyBorder="0" applyAlignment="0" applyProtection="0"/>
  </cellStyleXfs>
  <cellXfs count="1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3" borderId="0" xfId="0" applyFill="1"/>
    <xf numFmtId="0" fontId="0" fillId="0" borderId="0" xfId="0" pivotButton="1"/>
    <xf numFmtId="0" fontId="0" fillId="0" borderId="0" xfId="0" applyAlignment="1">
      <alignment horizontal="left"/>
    </xf>
    <xf numFmtId="9" fontId="6" fillId="0" borderId="0" xfId="1" applyFont="1"/>
    <xf numFmtId="9" fontId="0" fillId="0" borderId="0" xfId="1" applyFont="1"/>
    <xf numFmtId="0" fontId="4" fillId="3" borderId="0" xfId="0" applyFont="1" applyFill="1" applyAlignment="1">
      <alignment horizontal="center"/>
    </xf>
    <xf numFmtId="0" fontId="0" fillId="3" borderId="0" xfId="0" applyFill="1" applyAlignment="1">
      <alignment horizontal="center"/>
    </xf>
    <xf numFmtId="0" fontId="0" fillId="0" borderId="0" xfId="0" applyNumberFormat="1"/>
    <xf numFmtId="0" fontId="7" fillId="3" borderId="0" xfId="0" applyFont="1" applyFill="1" applyAlignment="1">
      <alignment horizontal="center"/>
    </xf>
    <xf numFmtId="173" fontId="0" fillId="0" borderId="0" xfId="0" applyNumberFormat="1"/>
    <xf numFmtId="173" fontId="6" fillId="0" borderId="0" xfId="0" applyNumberFormat="1" applyFont="1"/>
  </cellXfs>
  <cellStyles count="2">
    <cellStyle name="Normal" xfId="0" builtinId="0"/>
    <cellStyle name="Percent" xfId="1" builtinId="5"/>
  </cellStyles>
  <dxfs count="49">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numFmt numFmtId="173" formatCode="0.0"/>
    </dxf>
    <dxf>
      <font>
        <b/>
        <i val="0"/>
        <sz val="14"/>
        <color theme="0"/>
      </font>
      <border diagonalUp="0" diagonalDown="0">
        <left/>
        <right/>
        <top/>
        <bottom/>
        <vertical/>
        <horizontal/>
      </border>
    </dxf>
    <dxf>
      <font>
        <color theme="1" tint="0.14996795556505021"/>
      </font>
      <fill>
        <patternFill>
          <bgColor theme="1" tint="0.24994659260841701"/>
        </patternFill>
      </fill>
      <border diagonalUp="0" diagonalDown="0">
        <left/>
        <right/>
        <top/>
        <bottom/>
        <vertical/>
        <horizontal/>
      </border>
    </dxf>
    <dxf>
      <numFmt numFmtId="173"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1" defaultTableStyle="TableStyleMedium2" defaultPivotStyle="PivotStyleLight16">
    <tableStyle name="SlicerStyleLight1 2" pivot="0" table="0" count="10" xr9:uid="{052E0C23-F756-4E20-8A54-7A3943CFCA02}">
      <tableStyleElement type="wholeTable" dxfId="24"/>
      <tableStyleElement type="headerRow" dxfId="23"/>
    </tableStyle>
  </tableStyles>
  <colors>
    <mruColors>
      <color rgb="FF439028"/>
      <color rgb="FF978E15"/>
      <color rgb="FFE2D52E"/>
    </mruColors>
  </colors>
  <extLst>
    <ext xmlns:x14="http://schemas.microsoft.com/office/spreadsheetml/2009/9/main" uri="{46F421CA-312F-682f-3DD2-61675219B42D}">
      <x14:dxfs count="136">
        <dxf>
          <font>
            <color theme="1" tint="0.1499679555650502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theme="1" tint="0.1499679555650502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1" tint="0.1499679555650502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theme="1" tint="0.1499679555650502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theme="1" tint="0.14996795556505021"/>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tint="0.1499679555650502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34998626667073579"/>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name val="Segoe UI Semibold"/>
            <family val="2"/>
            <scheme val="none"/>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patternFill>
          </fill>
          <border diagonalUp="0" diagonalDown="0">
            <left/>
            <right/>
            <top/>
            <bottom/>
            <vertical/>
            <horizontal/>
          </border>
        </dxf>
        <dxf>
          <font>
            <sz val="12"/>
            <color rgb="FF000000"/>
            <name val="Segoe UI Semibold"/>
            <family val="2"/>
            <scheme val="none"/>
          </font>
          <fill>
            <patternFill patternType="solid">
              <fgColor theme="4" tint="0.59999389629810485"/>
              <bgColor rgb="FFFFC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05-406B-B615-64E4CC2509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05-406B-B615-64E4CC2509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05-406B-B615-64E4CC2509AB}"/>
              </c:ext>
            </c:extLst>
          </c:dPt>
          <c:cat>
            <c:strRef>
              <c:f>'Pivot Table'!$A$4:$A$7</c:f>
              <c:strCache>
                <c:ptCount val="3"/>
                <c:pt idx="0">
                  <c:v>Contract</c:v>
                </c:pt>
                <c:pt idx="1">
                  <c:v>Full-Time</c:v>
                </c:pt>
                <c:pt idx="2">
                  <c:v>Part-Time</c:v>
                </c:pt>
              </c:strCache>
            </c:strRef>
          </c:cat>
          <c:val>
            <c:numRef>
              <c:f>'Pivot Table'!$B$4:$B$7</c:f>
              <c:numCache>
                <c:formatCode>General</c:formatCode>
                <c:ptCount val="3"/>
                <c:pt idx="0">
                  <c:v>17</c:v>
                </c:pt>
                <c:pt idx="1">
                  <c:v>20</c:v>
                </c:pt>
                <c:pt idx="2">
                  <c:v>13</c:v>
                </c:pt>
              </c:numCache>
            </c:numRef>
          </c:val>
          <c:extLst>
            <c:ext xmlns:c16="http://schemas.microsoft.com/office/drawing/2014/chart" uri="{C3380CC4-5D6E-409C-BE32-E72D297353CC}">
              <c16:uniqueId val="{00000000-684F-4D12-9B96-A6145B7DAF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Table'!$J$3:$J$4</c:f>
              <c:strCache>
                <c:ptCount val="1"/>
                <c:pt idx="0">
                  <c:v>Female</c:v>
                </c:pt>
              </c:strCache>
            </c:strRef>
          </c:tx>
          <c:spPr>
            <a:solidFill>
              <a:schemeClr val="accent1"/>
            </a:solidFill>
            <a:ln>
              <a:noFill/>
            </a:ln>
            <a:effectLst/>
          </c:spPr>
          <c:invertIfNegative val="0"/>
          <c:cat>
            <c:strRef>
              <c:f>'Pivot Table'!$I$5:$I$10</c:f>
              <c:strCache>
                <c:ptCount val="5"/>
                <c:pt idx="0">
                  <c:v>18-25</c:v>
                </c:pt>
                <c:pt idx="1">
                  <c:v>26-35</c:v>
                </c:pt>
                <c:pt idx="2">
                  <c:v>36-45</c:v>
                </c:pt>
                <c:pt idx="3">
                  <c:v>46-55</c:v>
                </c:pt>
                <c:pt idx="4">
                  <c:v>56 &lt;</c:v>
                </c:pt>
              </c:strCache>
            </c:strRef>
          </c:cat>
          <c:val>
            <c:numRef>
              <c:f>'Pivot Table'!$J$5:$J$10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FDA-49DA-B637-719F693F9171}"/>
            </c:ext>
          </c:extLst>
        </c:ser>
        <c:ser>
          <c:idx val="1"/>
          <c:order val="1"/>
          <c:tx>
            <c:strRef>
              <c:f>'Pivot Table'!$K$3:$K$4</c:f>
              <c:strCache>
                <c:ptCount val="1"/>
                <c:pt idx="0">
                  <c:v>Male</c:v>
                </c:pt>
              </c:strCache>
            </c:strRef>
          </c:tx>
          <c:spPr>
            <a:solidFill>
              <a:schemeClr val="accent2"/>
            </a:solidFill>
            <a:ln>
              <a:noFill/>
            </a:ln>
            <a:effectLst/>
          </c:spPr>
          <c:invertIfNegative val="0"/>
          <c:cat>
            <c:strRef>
              <c:f>'Pivot Table'!$I$5:$I$10</c:f>
              <c:strCache>
                <c:ptCount val="5"/>
                <c:pt idx="0">
                  <c:v>18-25</c:v>
                </c:pt>
                <c:pt idx="1">
                  <c:v>26-35</c:v>
                </c:pt>
                <c:pt idx="2">
                  <c:v>36-45</c:v>
                </c:pt>
                <c:pt idx="3">
                  <c:v>46-55</c:v>
                </c:pt>
                <c:pt idx="4">
                  <c:v>56 &lt;</c:v>
                </c:pt>
              </c:strCache>
            </c:strRef>
          </c:cat>
          <c:val>
            <c:numRef>
              <c:f>'Pivot Table'!$K$5:$K$10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79A1-49B8-98B8-774D131CA69E}"/>
            </c:ext>
          </c:extLst>
        </c:ser>
        <c:dLbls>
          <c:showLegendKey val="0"/>
          <c:showVal val="0"/>
          <c:showCatName val="0"/>
          <c:showSerName val="0"/>
          <c:showPercent val="0"/>
          <c:showBubbleSize val="0"/>
        </c:dLbls>
        <c:gapWidth val="219"/>
        <c:overlap val="-27"/>
        <c:axId val="1181925680"/>
        <c:axId val="1181909360"/>
      </c:barChart>
      <c:catAx>
        <c:axId val="11819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09360"/>
        <c:crosses val="autoZero"/>
        <c:auto val="1"/>
        <c:lblAlgn val="ctr"/>
        <c:lblOffset val="100"/>
        <c:noMultiLvlLbl val="0"/>
      </c:catAx>
      <c:valAx>
        <c:axId val="118190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9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Table'!$Q$11</c:f>
              <c:numCache>
                <c:formatCode>0%</c:formatCode>
                <c:ptCount val="1"/>
                <c:pt idx="0">
                  <c:v>0.46</c:v>
                </c:pt>
              </c:numCache>
            </c:numRef>
          </c:val>
          <c:extLst>
            <c:ext xmlns:c16="http://schemas.microsoft.com/office/drawing/2014/chart" uri="{C3380CC4-5D6E-409C-BE32-E72D297353CC}">
              <c16:uniqueId val="{00000000-58E3-4F86-A0C8-E1EB6C230F0B}"/>
            </c:ext>
          </c:extLst>
        </c:ser>
        <c:ser>
          <c:idx val="1"/>
          <c:order val="1"/>
          <c:spPr>
            <a:solidFill>
              <a:schemeClr val="accent2"/>
            </a:solidFill>
            <a:ln>
              <a:noFill/>
            </a:ln>
            <a:effectLst/>
          </c:spPr>
          <c:invertIfNegative val="0"/>
          <c:val>
            <c:numRef>
              <c:f>'Pivot Table'!$R$11</c:f>
              <c:numCache>
                <c:formatCode>0%</c:formatCode>
                <c:ptCount val="1"/>
                <c:pt idx="0">
                  <c:v>0.54</c:v>
                </c:pt>
              </c:numCache>
            </c:numRef>
          </c:val>
          <c:extLst>
            <c:ext xmlns:c16="http://schemas.microsoft.com/office/drawing/2014/chart" uri="{C3380CC4-5D6E-409C-BE32-E72D297353CC}">
              <c16:uniqueId val="{00000001-58E3-4F86-A0C8-E1EB6C230F0B}"/>
            </c:ext>
          </c:extLst>
        </c:ser>
        <c:dLbls>
          <c:showLegendKey val="0"/>
          <c:showVal val="0"/>
          <c:showCatName val="0"/>
          <c:showSerName val="0"/>
          <c:showPercent val="0"/>
          <c:showBubbleSize val="0"/>
        </c:dLbls>
        <c:gapWidth val="150"/>
        <c:overlap val="100"/>
        <c:axId val="1378284064"/>
        <c:axId val="1378281664"/>
      </c:barChart>
      <c:catAx>
        <c:axId val="1378284064"/>
        <c:scaling>
          <c:orientation val="minMax"/>
        </c:scaling>
        <c:delete val="1"/>
        <c:axPos val="l"/>
        <c:majorTickMark val="none"/>
        <c:minorTickMark val="none"/>
        <c:tickLblPos val="nextTo"/>
        <c:crossAx val="1378281664"/>
        <c:crosses val="autoZero"/>
        <c:auto val="1"/>
        <c:lblAlgn val="ctr"/>
        <c:lblOffset val="100"/>
        <c:noMultiLvlLbl val="0"/>
      </c:catAx>
      <c:valAx>
        <c:axId val="1378281664"/>
        <c:scaling>
          <c:orientation val="minMax"/>
        </c:scaling>
        <c:delete val="1"/>
        <c:axPos val="b"/>
        <c:numFmt formatCode="0%" sourceLinked="1"/>
        <c:majorTickMark val="none"/>
        <c:minorTickMark val="none"/>
        <c:tickLblPos val="nextTo"/>
        <c:crossAx val="137828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Table'!$Q$12</c:f>
              <c:numCache>
                <c:formatCode>0%</c:formatCode>
                <c:ptCount val="1"/>
                <c:pt idx="0">
                  <c:v>0.16</c:v>
                </c:pt>
              </c:numCache>
            </c:numRef>
          </c:val>
          <c:extLst>
            <c:ext xmlns:c16="http://schemas.microsoft.com/office/drawing/2014/chart" uri="{C3380CC4-5D6E-409C-BE32-E72D297353CC}">
              <c16:uniqueId val="{00000000-3594-4A35-AB8F-35C3097AA247}"/>
            </c:ext>
          </c:extLst>
        </c:ser>
        <c:ser>
          <c:idx val="1"/>
          <c:order val="1"/>
          <c:spPr>
            <a:solidFill>
              <a:schemeClr val="accent2"/>
            </a:solidFill>
            <a:ln>
              <a:noFill/>
            </a:ln>
            <a:effectLst/>
          </c:spPr>
          <c:invertIfNegative val="0"/>
          <c:val>
            <c:numRef>
              <c:f>'Pivot Table'!$R$12</c:f>
              <c:numCache>
                <c:formatCode>0%</c:formatCode>
                <c:ptCount val="1"/>
                <c:pt idx="0">
                  <c:v>0.84</c:v>
                </c:pt>
              </c:numCache>
            </c:numRef>
          </c:val>
          <c:extLst>
            <c:ext xmlns:c16="http://schemas.microsoft.com/office/drawing/2014/chart" uri="{C3380CC4-5D6E-409C-BE32-E72D297353CC}">
              <c16:uniqueId val="{00000001-3594-4A35-AB8F-35C3097AA247}"/>
            </c:ext>
          </c:extLst>
        </c:ser>
        <c:dLbls>
          <c:showLegendKey val="0"/>
          <c:showVal val="0"/>
          <c:showCatName val="0"/>
          <c:showSerName val="0"/>
          <c:showPercent val="0"/>
          <c:showBubbleSize val="0"/>
        </c:dLbls>
        <c:gapWidth val="150"/>
        <c:overlap val="100"/>
        <c:axId val="1433642496"/>
        <c:axId val="1433651136"/>
      </c:barChart>
      <c:catAx>
        <c:axId val="143364249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651136"/>
        <c:crosses val="autoZero"/>
        <c:auto val="1"/>
        <c:lblAlgn val="ctr"/>
        <c:lblOffset val="100"/>
        <c:noMultiLvlLbl val="0"/>
      </c:catAx>
      <c:valAx>
        <c:axId val="143365113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6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 Table'!$Q$13</c:f>
              <c:numCache>
                <c:formatCode>0%</c:formatCode>
                <c:ptCount val="1"/>
                <c:pt idx="0">
                  <c:v>0.38</c:v>
                </c:pt>
              </c:numCache>
            </c:numRef>
          </c:val>
          <c:extLst>
            <c:ext xmlns:c16="http://schemas.microsoft.com/office/drawing/2014/chart" uri="{C3380CC4-5D6E-409C-BE32-E72D297353CC}">
              <c16:uniqueId val="{00000000-3BBF-461E-82E6-B5D59BA68767}"/>
            </c:ext>
          </c:extLst>
        </c:ser>
        <c:ser>
          <c:idx val="1"/>
          <c:order val="1"/>
          <c:spPr>
            <a:solidFill>
              <a:schemeClr val="accent2"/>
            </a:solidFill>
            <a:ln>
              <a:noFill/>
            </a:ln>
            <a:effectLst/>
          </c:spPr>
          <c:invertIfNegative val="0"/>
          <c:val>
            <c:numRef>
              <c:f>'Pivot Table'!$R$13</c:f>
              <c:numCache>
                <c:formatCode>0%</c:formatCode>
                <c:ptCount val="1"/>
                <c:pt idx="0">
                  <c:v>0.62</c:v>
                </c:pt>
              </c:numCache>
            </c:numRef>
          </c:val>
          <c:extLst>
            <c:ext xmlns:c16="http://schemas.microsoft.com/office/drawing/2014/chart" uri="{C3380CC4-5D6E-409C-BE32-E72D297353CC}">
              <c16:uniqueId val="{00000001-3BBF-461E-82E6-B5D59BA68767}"/>
            </c:ext>
          </c:extLst>
        </c:ser>
        <c:dLbls>
          <c:showLegendKey val="0"/>
          <c:showVal val="0"/>
          <c:showCatName val="0"/>
          <c:showSerName val="0"/>
          <c:showPercent val="0"/>
          <c:showBubbleSize val="0"/>
        </c:dLbls>
        <c:gapWidth val="150"/>
        <c:overlap val="100"/>
        <c:axId val="1378267744"/>
        <c:axId val="1378278304"/>
      </c:barChart>
      <c:catAx>
        <c:axId val="1378267744"/>
        <c:scaling>
          <c:orientation val="minMax"/>
        </c:scaling>
        <c:delete val="1"/>
        <c:axPos val="l"/>
        <c:majorTickMark val="none"/>
        <c:minorTickMark val="none"/>
        <c:tickLblPos val="nextTo"/>
        <c:crossAx val="1378278304"/>
        <c:crosses val="autoZero"/>
        <c:auto val="1"/>
        <c:lblAlgn val="ctr"/>
        <c:lblOffset val="100"/>
        <c:noMultiLvlLbl val="0"/>
      </c:catAx>
      <c:valAx>
        <c:axId val="1378278304"/>
        <c:scaling>
          <c:orientation val="minMax"/>
        </c:scaling>
        <c:delete val="1"/>
        <c:axPos val="b"/>
        <c:numFmt formatCode="0%" sourceLinked="1"/>
        <c:majorTickMark val="none"/>
        <c:minorTickMark val="none"/>
        <c:tickLblPos val="nextTo"/>
        <c:crossAx val="137826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'Pivot Table'!$K$20:$L$20</c:f>
              <c:numCache>
                <c:formatCode>0%</c:formatCode>
                <c:ptCount val="2"/>
                <c:pt idx="0">
                  <c:v>0.48</c:v>
                </c:pt>
                <c:pt idx="1">
                  <c:v>0.52</c:v>
                </c:pt>
              </c:numCache>
            </c:numRef>
          </c:val>
          <c:extLst>
            <c:ext xmlns:c16="http://schemas.microsoft.com/office/drawing/2014/chart" uri="{C3380CC4-5D6E-409C-BE32-E72D297353CC}">
              <c16:uniqueId val="{00000000-FD4F-4DFA-9B94-75DAB9165F3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'Pivot Table'!$K$21:$L$21</c:f>
              <c:numCache>
                <c:formatCode>0%</c:formatCode>
                <c:ptCount val="2"/>
                <c:pt idx="0">
                  <c:v>0.52</c:v>
                </c:pt>
                <c:pt idx="1">
                  <c:v>0.48</c:v>
                </c:pt>
              </c:numCache>
            </c:numRef>
          </c:val>
          <c:extLst>
            <c:ext xmlns:c16="http://schemas.microsoft.com/office/drawing/2014/chart" uri="{C3380CC4-5D6E-409C-BE32-E72D297353CC}">
              <c16:uniqueId val="{00000000-090C-4F2B-ABAA-D8CE65C702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Table'!$E$11</c:f>
              <c:strCache>
                <c:ptCount val="1"/>
                <c:pt idx="0">
                  <c:v>Analyst</c:v>
                </c:pt>
              </c:strCache>
            </c:strRef>
          </c:tx>
          <c:spPr>
            <a:solidFill>
              <a:schemeClr val="accent1"/>
            </a:solidFill>
            <a:ln>
              <a:noFill/>
            </a:ln>
            <a:effectLst/>
          </c:spPr>
          <c:invertIfNegative val="0"/>
          <c:val>
            <c:numRef>
              <c:f>'Pivot Table'!$G$11</c:f>
              <c:numCache>
                <c:formatCode>General</c:formatCode>
                <c:ptCount val="1"/>
                <c:pt idx="0">
                  <c:v>28</c:v>
                </c:pt>
              </c:numCache>
            </c:numRef>
          </c:val>
          <c:extLst>
            <c:ext xmlns:c16="http://schemas.microsoft.com/office/drawing/2014/chart" uri="{C3380CC4-5D6E-409C-BE32-E72D297353CC}">
              <c16:uniqueId val="{00000000-06A9-4CA6-94D3-587D46753F4B}"/>
            </c:ext>
          </c:extLst>
        </c:ser>
        <c:ser>
          <c:idx val="1"/>
          <c:order val="1"/>
          <c:tx>
            <c:strRef>
              <c:f>'Pivot Table'!$E$12</c:f>
              <c:strCache>
                <c:ptCount val="1"/>
                <c:pt idx="0">
                  <c:v>Designer</c:v>
                </c:pt>
              </c:strCache>
            </c:strRef>
          </c:tx>
          <c:spPr>
            <a:solidFill>
              <a:schemeClr val="accent2"/>
            </a:solidFill>
            <a:ln>
              <a:noFill/>
            </a:ln>
            <a:effectLst/>
          </c:spPr>
          <c:invertIfNegative val="0"/>
          <c:val>
            <c:numRef>
              <c:f>'Pivot Table'!$G$12</c:f>
              <c:numCache>
                <c:formatCode>General</c:formatCode>
                <c:ptCount val="1"/>
                <c:pt idx="0">
                  <c:v>110</c:v>
                </c:pt>
              </c:numCache>
            </c:numRef>
          </c:val>
          <c:extLst>
            <c:ext xmlns:c16="http://schemas.microsoft.com/office/drawing/2014/chart" uri="{C3380CC4-5D6E-409C-BE32-E72D297353CC}">
              <c16:uniqueId val="{00000001-06A9-4CA6-94D3-587D46753F4B}"/>
            </c:ext>
          </c:extLst>
        </c:ser>
        <c:ser>
          <c:idx val="2"/>
          <c:order val="2"/>
          <c:tx>
            <c:strRef>
              <c:f>'Pivot Table'!$E$13</c:f>
              <c:strCache>
                <c:ptCount val="1"/>
                <c:pt idx="0">
                  <c:v>Developer</c:v>
                </c:pt>
              </c:strCache>
            </c:strRef>
          </c:tx>
          <c:spPr>
            <a:solidFill>
              <a:schemeClr val="accent3"/>
            </a:solidFill>
            <a:ln>
              <a:noFill/>
            </a:ln>
            <a:effectLst/>
          </c:spPr>
          <c:invertIfNegative val="0"/>
          <c:val>
            <c:numRef>
              <c:f>'Pivot Table'!$G$13</c:f>
              <c:numCache>
                <c:formatCode>General</c:formatCode>
                <c:ptCount val="1"/>
                <c:pt idx="0">
                  <c:v>104</c:v>
                </c:pt>
              </c:numCache>
            </c:numRef>
          </c:val>
          <c:extLst>
            <c:ext xmlns:c16="http://schemas.microsoft.com/office/drawing/2014/chart" uri="{C3380CC4-5D6E-409C-BE32-E72D297353CC}">
              <c16:uniqueId val="{00000002-06A9-4CA6-94D3-587D46753F4B}"/>
            </c:ext>
          </c:extLst>
        </c:ser>
        <c:ser>
          <c:idx val="3"/>
          <c:order val="3"/>
          <c:tx>
            <c:strRef>
              <c:f>'Pivot Table'!$E$14</c:f>
              <c:strCache>
                <c:ptCount val="1"/>
                <c:pt idx="0">
                  <c:v>HR Specialist</c:v>
                </c:pt>
              </c:strCache>
            </c:strRef>
          </c:tx>
          <c:spPr>
            <a:solidFill>
              <a:schemeClr val="accent4"/>
            </a:solidFill>
            <a:ln>
              <a:noFill/>
            </a:ln>
            <a:effectLst/>
          </c:spPr>
          <c:invertIfNegative val="0"/>
          <c:val>
            <c:numRef>
              <c:f>'Pivot Table'!$G$14</c:f>
              <c:numCache>
                <c:formatCode>General</c:formatCode>
                <c:ptCount val="1"/>
                <c:pt idx="0">
                  <c:v>123</c:v>
                </c:pt>
              </c:numCache>
            </c:numRef>
          </c:val>
          <c:extLst>
            <c:ext xmlns:c16="http://schemas.microsoft.com/office/drawing/2014/chart" uri="{C3380CC4-5D6E-409C-BE32-E72D297353CC}">
              <c16:uniqueId val="{00000003-06A9-4CA6-94D3-587D46753F4B}"/>
            </c:ext>
          </c:extLst>
        </c:ser>
        <c:ser>
          <c:idx val="4"/>
          <c:order val="4"/>
          <c:tx>
            <c:strRef>
              <c:f>'Pivot Table'!$E$15</c:f>
              <c:strCache>
                <c:ptCount val="1"/>
                <c:pt idx="0">
                  <c:v>Manager</c:v>
                </c:pt>
              </c:strCache>
            </c:strRef>
          </c:tx>
          <c:spPr>
            <a:solidFill>
              <a:schemeClr val="accent5"/>
            </a:solidFill>
            <a:ln>
              <a:noFill/>
            </a:ln>
            <a:effectLst/>
          </c:spPr>
          <c:invertIfNegative val="0"/>
          <c:val>
            <c:numRef>
              <c:f>'Pivot Table'!$G$15</c:f>
              <c:numCache>
                <c:formatCode>General</c:formatCode>
                <c:ptCount val="1"/>
                <c:pt idx="0">
                  <c:v>122</c:v>
                </c:pt>
              </c:numCache>
            </c:numRef>
          </c:val>
          <c:extLst>
            <c:ext xmlns:c16="http://schemas.microsoft.com/office/drawing/2014/chart" uri="{C3380CC4-5D6E-409C-BE32-E72D297353CC}">
              <c16:uniqueId val="{00000004-06A9-4CA6-94D3-587D46753F4B}"/>
            </c:ext>
          </c:extLst>
        </c:ser>
        <c:dLbls>
          <c:showLegendKey val="0"/>
          <c:showVal val="0"/>
          <c:showCatName val="0"/>
          <c:showSerName val="0"/>
          <c:showPercent val="0"/>
          <c:showBubbleSize val="0"/>
        </c:dLbls>
        <c:gapWidth val="219"/>
        <c:overlap val="-27"/>
        <c:axId val="1929573136"/>
        <c:axId val="1929573616"/>
      </c:barChart>
      <c:catAx>
        <c:axId val="192957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73616"/>
        <c:crosses val="autoZero"/>
        <c:auto val="1"/>
        <c:lblAlgn val="ctr"/>
        <c:lblOffset val="100"/>
        <c:noMultiLvlLbl val="0"/>
      </c:catAx>
      <c:valAx>
        <c:axId val="1929573616"/>
        <c:scaling>
          <c:orientation val="minMax"/>
        </c:scaling>
        <c:delete val="1"/>
        <c:axPos val="l"/>
        <c:numFmt formatCode="General" sourceLinked="1"/>
        <c:majorTickMark val="none"/>
        <c:minorTickMark val="none"/>
        <c:tickLblPos val="nextTo"/>
        <c:crossAx val="1929573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 Table'!$W$12:$W$16</c:f>
              <c:strCache>
                <c:ptCount val="5"/>
                <c:pt idx="0">
                  <c:v>Central</c:v>
                </c:pt>
                <c:pt idx="1">
                  <c:v>East</c:v>
                </c:pt>
                <c:pt idx="2">
                  <c:v>North</c:v>
                </c:pt>
                <c:pt idx="3">
                  <c:v>South</c:v>
                </c:pt>
                <c:pt idx="4">
                  <c:v>West</c:v>
                </c:pt>
              </c:strCache>
            </c:strRef>
          </c:cat>
          <c:val>
            <c:numRef>
              <c:f>'Pivot Table'!$X$12:$X$16</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C246-4F8F-9622-5DD76AAF5B70}"/>
            </c:ext>
          </c:extLst>
        </c:ser>
        <c:dLbls>
          <c:showLegendKey val="0"/>
          <c:showVal val="0"/>
          <c:showCatName val="0"/>
          <c:showSerName val="0"/>
          <c:showPercent val="0"/>
          <c:showBubbleSize val="0"/>
        </c:dLbls>
        <c:gapWidth val="182"/>
        <c:axId val="1760785408"/>
        <c:axId val="1760769088"/>
      </c:barChart>
      <c:catAx>
        <c:axId val="176078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769088"/>
        <c:crosses val="autoZero"/>
        <c:auto val="1"/>
        <c:lblAlgn val="ctr"/>
        <c:lblOffset val="100"/>
        <c:noMultiLvlLbl val="0"/>
      </c:catAx>
      <c:valAx>
        <c:axId val="1760769088"/>
        <c:scaling>
          <c:orientation val="minMax"/>
        </c:scaling>
        <c:delete val="1"/>
        <c:axPos val="b"/>
        <c:numFmt formatCode="General" sourceLinked="1"/>
        <c:majorTickMark val="none"/>
        <c:minorTickMark val="none"/>
        <c:tickLblPos val="nextTo"/>
        <c:crossAx val="176078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Table!PivotTable1</c:name>
    <c:fmtId val="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noFill/>
          </a:ln>
          <a:effectLst/>
        </c:spPr>
      </c:pivotFmt>
      <c:pivotFmt>
        <c:idx val="7"/>
        <c:spPr>
          <a:solidFill>
            <a:schemeClr val="bg2">
              <a:lumMod val="50000"/>
            </a:schemeClr>
          </a:solidFill>
          <a:ln w="19050">
            <a:noFill/>
          </a:ln>
          <a:effectLst/>
        </c:spPr>
      </c:pivotFmt>
      <c:pivotFmt>
        <c:idx val="8"/>
        <c:spPr>
          <a:solidFill>
            <a:schemeClr val="bg1"/>
          </a:solidFill>
          <a:ln w="19050">
            <a:noFill/>
          </a:ln>
          <a:effectLst/>
        </c:spPr>
      </c:pivotFmt>
    </c:pivotFmts>
    <c:plotArea>
      <c:layout/>
      <c:pieChart>
        <c:varyColors val="1"/>
        <c:ser>
          <c:idx val="0"/>
          <c:order val="0"/>
          <c:tx>
            <c:strRef>
              <c:f>'Pivot Table'!$B$3</c:f>
              <c:strCache>
                <c:ptCount val="1"/>
                <c:pt idx="0">
                  <c:v>Total</c:v>
                </c:pt>
              </c:strCache>
            </c:strRef>
          </c:tx>
          <c:spPr>
            <a:ln>
              <a:noFill/>
            </a:ln>
          </c:spPr>
          <c:dPt>
            <c:idx val="0"/>
            <c:bubble3D val="0"/>
            <c:spPr>
              <a:solidFill>
                <a:srgbClr val="FFC000"/>
              </a:solidFill>
              <a:ln w="19050">
                <a:noFill/>
              </a:ln>
              <a:effectLst/>
            </c:spPr>
            <c:extLst>
              <c:ext xmlns:c16="http://schemas.microsoft.com/office/drawing/2014/chart" uri="{C3380CC4-5D6E-409C-BE32-E72D297353CC}">
                <c16:uniqueId val="{00000001-483C-4159-80A5-FD18462FB682}"/>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483C-4159-80A5-FD18462FB682}"/>
              </c:ext>
            </c:extLst>
          </c:dPt>
          <c:dPt>
            <c:idx val="2"/>
            <c:bubble3D val="0"/>
            <c:spPr>
              <a:solidFill>
                <a:schemeClr val="bg1"/>
              </a:solidFill>
              <a:ln w="19050">
                <a:noFill/>
              </a:ln>
              <a:effectLst/>
            </c:spPr>
            <c:extLst>
              <c:ext xmlns:c16="http://schemas.microsoft.com/office/drawing/2014/chart" uri="{C3380CC4-5D6E-409C-BE32-E72D297353CC}">
                <c16:uniqueId val="{00000005-483C-4159-80A5-FD18462FB682}"/>
              </c:ext>
            </c:extLst>
          </c:dPt>
          <c:cat>
            <c:strRef>
              <c:f>'Pivot Table'!$A$4:$A$7</c:f>
              <c:strCache>
                <c:ptCount val="3"/>
                <c:pt idx="0">
                  <c:v>Contract</c:v>
                </c:pt>
                <c:pt idx="1">
                  <c:v>Full-Time</c:v>
                </c:pt>
                <c:pt idx="2">
                  <c:v>Part-Time</c:v>
                </c:pt>
              </c:strCache>
            </c:strRef>
          </c:cat>
          <c:val>
            <c:numRef>
              <c:f>'Pivot Table'!$B$4:$B$7</c:f>
              <c:numCache>
                <c:formatCode>General</c:formatCode>
                <c:ptCount val="3"/>
                <c:pt idx="0">
                  <c:v>17</c:v>
                </c:pt>
                <c:pt idx="1">
                  <c:v>20</c:v>
                </c:pt>
                <c:pt idx="2">
                  <c:v>13</c:v>
                </c:pt>
              </c:numCache>
            </c:numRef>
          </c:val>
          <c:extLst>
            <c:ext xmlns:c16="http://schemas.microsoft.com/office/drawing/2014/chart" uri="{C3380CC4-5D6E-409C-BE32-E72D297353CC}">
              <c16:uniqueId val="{00000006-483C-4159-80A5-FD18462FB6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table.xlsx]Pivot Table!PivotTable4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218390804597707E-2"/>
          <c:y val="0.27103636317304997"/>
          <c:w val="0.87356321839080464"/>
          <c:h val="0.59403307596259203"/>
        </c:manualLayout>
      </c:layout>
      <c:barChart>
        <c:barDir val="col"/>
        <c:grouping val="clustered"/>
        <c:varyColors val="0"/>
        <c:ser>
          <c:idx val="0"/>
          <c:order val="0"/>
          <c:tx>
            <c:strRef>
              <c:f>'Pivot Table'!$J$3:$J$4</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Table'!$I$5:$I$10</c:f>
              <c:strCache>
                <c:ptCount val="5"/>
                <c:pt idx="0">
                  <c:v>18-25</c:v>
                </c:pt>
                <c:pt idx="1">
                  <c:v>26-35</c:v>
                </c:pt>
                <c:pt idx="2">
                  <c:v>36-45</c:v>
                </c:pt>
                <c:pt idx="3">
                  <c:v>46-55</c:v>
                </c:pt>
                <c:pt idx="4">
                  <c:v>56 &lt;</c:v>
                </c:pt>
              </c:strCache>
            </c:strRef>
          </c:cat>
          <c:val>
            <c:numRef>
              <c:f>'Pivot Table'!$J$5:$J$10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4F57-4932-83E8-17FA32FE5322}"/>
            </c:ext>
          </c:extLst>
        </c:ser>
        <c:ser>
          <c:idx val="1"/>
          <c:order val="1"/>
          <c:tx>
            <c:strRef>
              <c:f>'Pivot Table'!$K$3:$K$4</c:f>
              <c:strCache>
                <c:ptCount val="1"/>
                <c:pt idx="0">
                  <c:v>Male</c:v>
                </c:pt>
              </c:strCache>
            </c:strRef>
          </c:tx>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Table'!$I$5:$I$10</c:f>
              <c:strCache>
                <c:ptCount val="5"/>
                <c:pt idx="0">
                  <c:v>18-25</c:v>
                </c:pt>
                <c:pt idx="1">
                  <c:v>26-35</c:v>
                </c:pt>
                <c:pt idx="2">
                  <c:v>36-45</c:v>
                </c:pt>
                <c:pt idx="3">
                  <c:v>46-55</c:v>
                </c:pt>
                <c:pt idx="4">
                  <c:v>56 &lt;</c:v>
                </c:pt>
              </c:strCache>
            </c:strRef>
          </c:cat>
          <c:val>
            <c:numRef>
              <c:f>'Pivot Table'!$K$5:$K$10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2-A55C-4B61-B68A-23D4FC32ED2F}"/>
            </c:ext>
          </c:extLst>
        </c:ser>
        <c:dLbls>
          <c:dLblPos val="outEnd"/>
          <c:showLegendKey val="0"/>
          <c:showVal val="1"/>
          <c:showCatName val="0"/>
          <c:showSerName val="0"/>
          <c:showPercent val="0"/>
          <c:showBubbleSize val="0"/>
        </c:dLbls>
        <c:gapWidth val="60"/>
        <c:overlap val="-27"/>
        <c:axId val="1181925680"/>
        <c:axId val="1181909360"/>
      </c:barChart>
      <c:catAx>
        <c:axId val="11819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181909360"/>
        <c:crosses val="autoZero"/>
        <c:auto val="1"/>
        <c:lblAlgn val="ctr"/>
        <c:lblOffset val="100"/>
        <c:noMultiLvlLbl val="0"/>
      </c:catAx>
      <c:valAx>
        <c:axId val="1181909360"/>
        <c:scaling>
          <c:orientation val="minMax"/>
        </c:scaling>
        <c:delete val="1"/>
        <c:axPos val="l"/>
        <c:numFmt formatCode="General" sourceLinked="1"/>
        <c:majorTickMark val="none"/>
        <c:minorTickMark val="none"/>
        <c:tickLblPos val="nextTo"/>
        <c:crossAx val="1181925680"/>
        <c:crosses val="autoZero"/>
        <c:crossBetween val="between"/>
      </c:valAx>
      <c:spPr>
        <a:noFill/>
        <a:ln>
          <a:noFill/>
        </a:ln>
        <a:effectLst/>
      </c:spPr>
    </c:plotArea>
    <c:legend>
      <c:legendPos val="t"/>
      <c:layout>
        <c:manualLayout>
          <c:xMode val="edge"/>
          <c:yMode val="edge"/>
          <c:x val="0.42332202009231606"/>
          <c:y val="0.13592233009708737"/>
          <c:w val="0.54255317223278121"/>
          <c:h val="0.121694788151481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7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 Table'!$Q$11</c:f>
              <c:numCache>
                <c:formatCode>0%</c:formatCode>
                <c:ptCount val="1"/>
                <c:pt idx="0">
                  <c:v>0.46</c:v>
                </c:pt>
              </c:numCache>
            </c:numRef>
          </c:val>
          <c:extLst>
            <c:ext xmlns:c16="http://schemas.microsoft.com/office/drawing/2014/chart" uri="{C3380CC4-5D6E-409C-BE32-E72D297353CC}">
              <c16:uniqueId val="{00000000-9C97-4D2E-932C-E58A6771B20E}"/>
            </c:ext>
          </c:extLst>
        </c:ser>
        <c:ser>
          <c:idx val="1"/>
          <c:order val="1"/>
          <c:spPr>
            <a:solidFill>
              <a:schemeClr val="tx1">
                <a:lumMod val="65000"/>
                <a:lumOff val="35000"/>
              </a:schemeClr>
            </a:solidFill>
            <a:ln>
              <a:noFill/>
            </a:ln>
            <a:effectLst/>
          </c:spPr>
          <c:invertIfNegative val="0"/>
          <c:val>
            <c:numRef>
              <c:f>'Pivot Table'!$R$11</c:f>
              <c:numCache>
                <c:formatCode>0%</c:formatCode>
                <c:ptCount val="1"/>
                <c:pt idx="0">
                  <c:v>0.54</c:v>
                </c:pt>
              </c:numCache>
            </c:numRef>
          </c:val>
          <c:extLst>
            <c:ext xmlns:c16="http://schemas.microsoft.com/office/drawing/2014/chart" uri="{C3380CC4-5D6E-409C-BE32-E72D297353CC}">
              <c16:uniqueId val="{00000001-9C97-4D2E-932C-E58A6771B20E}"/>
            </c:ext>
          </c:extLst>
        </c:ser>
        <c:dLbls>
          <c:showLegendKey val="0"/>
          <c:showVal val="0"/>
          <c:showCatName val="0"/>
          <c:showSerName val="0"/>
          <c:showPercent val="0"/>
          <c:showBubbleSize val="0"/>
        </c:dLbls>
        <c:gapWidth val="150"/>
        <c:overlap val="100"/>
        <c:axId val="1378284064"/>
        <c:axId val="1378281664"/>
      </c:barChart>
      <c:catAx>
        <c:axId val="1378284064"/>
        <c:scaling>
          <c:orientation val="minMax"/>
        </c:scaling>
        <c:delete val="1"/>
        <c:axPos val="l"/>
        <c:majorTickMark val="none"/>
        <c:minorTickMark val="none"/>
        <c:tickLblPos val="nextTo"/>
        <c:crossAx val="1378281664"/>
        <c:crosses val="autoZero"/>
        <c:auto val="1"/>
        <c:lblAlgn val="ctr"/>
        <c:lblOffset val="100"/>
        <c:noMultiLvlLbl val="0"/>
      </c:catAx>
      <c:valAx>
        <c:axId val="1378281664"/>
        <c:scaling>
          <c:orientation val="minMax"/>
        </c:scaling>
        <c:delete val="1"/>
        <c:axPos val="b"/>
        <c:numFmt formatCode="0%" sourceLinked="1"/>
        <c:majorTickMark val="none"/>
        <c:minorTickMark val="none"/>
        <c:tickLblPos val="nextTo"/>
        <c:crossAx val="137828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 Table'!$Q$12</c:f>
              <c:numCache>
                <c:formatCode>0%</c:formatCode>
                <c:ptCount val="1"/>
                <c:pt idx="0">
                  <c:v>0.16</c:v>
                </c:pt>
              </c:numCache>
            </c:numRef>
          </c:val>
          <c:extLst>
            <c:ext xmlns:c16="http://schemas.microsoft.com/office/drawing/2014/chart" uri="{C3380CC4-5D6E-409C-BE32-E72D297353CC}">
              <c16:uniqueId val="{00000000-A43F-43C8-87EA-ABC49AFEC553}"/>
            </c:ext>
          </c:extLst>
        </c:ser>
        <c:ser>
          <c:idx val="1"/>
          <c:order val="1"/>
          <c:spPr>
            <a:solidFill>
              <a:schemeClr val="tx1">
                <a:lumMod val="65000"/>
                <a:lumOff val="35000"/>
              </a:schemeClr>
            </a:solidFill>
            <a:ln>
              <a:noFill/>
            </a:ln>
            <a:effectLst/>
          </c:spPr>
          <c:invertIfNegative val="0"/>
          <c:val>
            <c:numRef>
              <c:f>'Pivot Table'!$R$12</c:f>
              <c:numCache>
                <c:formatCode>0%</c:formatCode>
                <c:ptCount val="1"/>
                <c:pt idx="0">
                  <c:v>0.84</c:v>
                </c:pt>
              </c:numCache>
            </c:numRef>
          </c:val>
          <c:extLst>
            <c:ext xmlns:c16="http://schemas.microsoft.com/office/drawing/2014/chart" uri="{C3380CC4-5D6E-409C-BE32-E72D297353CC}">
              <c16:uniqueId val="{00000001-A43F-43C8-87EA-ABC49AFEC553}"/>
            </c:ext>
          </c:extLst>
        </c:ser>
        <c:dLbls>
          <c:showLegendKey val="0"/>
          <c:showVal val="0"/>
          <c:showCatName val="0"/>
          <c:showSerName val="0"/>
          <c:showPercent val="0"/>
          <c:showBubbleSize val="0"/>
        </c:dLbls>
        <c:gapWidth val="150"/>
        <c:overlap val="100"/>
        <c:axId val="1433642496"/>
        <c:axId val="1433651136"/>
      </c:barChart>
      <c:catAx>
        <c:axId val="1433642496"/>
        <c:scaling>
          <c:orientation val="minMax"/>
        </c:scaling>
        <c:delete val="1"/>
        <c:axPos val="l"/>
        <c:majorTickMark val="none"/>
        <c:minorTickMark val="none"/>
        <c:tickLblPos val="nextTo"/>
        <c:crossAx val="1433651136"/>
        <c:crosses val="autoZero"/>
        <c:auto val="1"/>
        <c:lblAlgn val="ctr"/>
        <c:lblOffset val="100"/>
        <c:noMultiLvlLbl val="0"/>
      </c:catAx>
      <c:valAx>
        <c:axId val="1433651136"/>
        <c:scaling>
          <c:orientation val="minMax"/>
        </c:scaling>
        <c:delete val="1"/>
        <c:axPos val="b"/>
        <c:numFmt formatCode="0%" sourceLinked="1"/>
        <c:majorTickMark val="none"/>
        <c:minorTickMark val="none"/>
        <c:tickLblPos val="nextTo"/>
        <c:crossAx val="143364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 Table'!$Q$13</c:f>
              <c:numCache>
                <c:formatCode>0%</c:formatCode>
                <c:ptCount val="1"/>
                <c:pt idx="0">
                  <c:v>0.38</c:v>
                </c:pt>
              </c:numCache>
            </c:numRef>
          </c:val>
          <c:extLst>
            <c:ext xmlns:c16="http://schemas.microsoft.com/office/drawing/2014/chart" uri="{C3380CC4-5D6E-409C-BE32-E72D297353CC}">
              <c16:uniqueId val="{00000000-C8C7-486F-9895-8C25E3D96E3D}"/>
            </c:ext>
          </c:extLst>
        </c:ser>
        <c:ser>
          <c:idx val="1"/>
          <c:order val="1"/>
          <c:spPr>
            <a:solidFill>
              <a:schemeClr val="tx1">
                <a:lumMod val="65000"/>
                <a:lumOff val="35000"/>
              </a:schemeClr>
            </a:solidFill>
            <a:ln>
              <a:noFill/>
            </a:ln>
            <a:effectLst/>
          </c:spPr>
          <c:invertIfNegative val="0"/>
          <c:val>
            <c:numRef>
              <c:f>'Pivot Table'!$R$13</c:f>
              <c:numCache>
                <c:formatCode>0%</c:formatCode>
                <c:ptCount val="1"/>
                <c:pt idx="0">
                  <c:v>0.62</c:v>
                </c:pt>
              </c:numCache>
            </c:numRef>
          </c:val>
          <c:extLst>
            <c:ext xmlns:c16="http://schemas.microsoft.com/office/drawing/2014/chart" uri="{C3380CC4-5D6E-409C-BE32-E72D297353CC}">
              <c16:uniqueId val="{00000001-C8C7-486F-9895-8C25E3D96E3D}"/>
            </c:ext>
          </c:extLst>
        </c:ser>
        <c:dLbls>
          <c:showLegendKey val="0"/>
          <c:showVal val="0"/>
          <c:showCatName val="0"/>
          <c:showSerName val="0"/>
          <c:showPercent val="0"/>
          <c:showBubbleSize val="0"/>
        </c:dLbls>
        <c:gapWidth val="150"/>
        <c:overlap val="100"/>
        <c:axId val="1378267744"/>
        <c:axId val="1378278304"/>
      </c:barChart>
      <c:catAx>
        <c:axId val="1378267744"/>
        <c:scaling>
          <c:orientation val="minMax"/>
        </c:scaling>
        <c:delete val="1"/>
        <c:axPos val="l"/>
        <c:majorTickMark val="none"/>
        <c:minorTickMark val="none"/>
        <c:tickLblPos val="nextTo"/>
        <c:crossAx val="1378278304"/>
        <c:crosses val="autoZero"/>
        <c:auto val="1"/>
        <c:lblAlgn val="ctr"/>
        <c:lblOffset val="100"/>
        <c:noMultiLvlLbl val="0"/>
      </c:catAx>
      <c:valAx>
        <c:axId val="1378278304"/>
        <c:scaling>
          <c:orientation val="minMax"/>
        </c:scaling>
        <c:delete val="1"/>
        <c:axPos val="b"/>
        <c:numFmt formatCode="0%" sourceLinked="1"/>
        <c:majorTickMark val="none"/>
        <c:minorTickMark val="none"/>
        <c:tickLblPos val="nextTo"/>
        <c:crossAx val="137826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C882-48FC-B028-88D222AF8A14}"/>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C882-48FC-B028-88D222AF8A14}"/>
              </c:ext>
            </c:extLst>
          </c:dPt>
          <c:val>
            <c:numRef>
              <c:f>'Pivot Table'!$K$20:$L$20</c:f>
              <c:numCache>
                <c:formatCode>0%</c:formatCode>
                <c:ptCount val="2"/>
                <c:pt idx="0">
                  <c:v>0.48</c:v>
                </c:pt>
                <c:pt idx="1">
                  <c:v>0.52</c:v>
                </c:pt>
              </c:numCache>
            </c:numRef>
          </c:val>
          <c:extLst>
            <c:ext xmlns:c16="http://schemas.microsoft.com/office/drawing/2014/chart" uri="{C3380CC4-5D6E-409C-BE32-E72D297353CC}">
              <c16:uniqueId val="{00000004-C882-48FC-B028-88D222AF8A1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C000"/>
              </a:solidFill>
              <a:ln w="19050">
                <a:noFill/>
              </a:ln>
              <a:effectLst/>
            </c:spPr>
            <c:extLst>
              <c:ext xmlns:c16="http://schemas.microsoft.com/office/drawing/2014/chart" uri="{C3380CC4-5D6E-409C-BE32-E72D297353CC}">
                <c16:uniqueId val="{00000001-E5EB-4136-B60A-2A9D42AC4C44}"/>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E5EB-4136-B60A-2A9D42AC4C44}"/>
              </c:ext>
            </c:extLst>
          </c:dPt>
          <c:val>
            <c:numRef>
              <c:f>'Pivot Table'!$K$21:$L$21</c:f>
              <c:numCache>
                <c:formatCode>0%</c:formatCode>
                <c:ptCount val="2"/>
                <c:pt idx="0">
                  <c:v>0.52</c:v>
                </c:pt>
                <c:pt idx="1">
                  <c:v>0.48</c:v>
                </c:pt>
              </c:numCache>
            </c:numRef>
          </c:val>
          <c:extLst>
            <c:ext xmlns:c16="http://schemas.microsoft.com/office/drawing/2014/chart" uri="{C3380CC4-5D6E-409C-BE32-E72D297353CC}">
              <c16:uniqueId val="{00000004-E5EB-4136-B60A-2A9D42AC4C4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92125984251968E-2"/>
          <c:y val="7.8223567297590696E-2"/>
          <c:w val="0.93415640704820235"/>
          <c:h val="0.82113809688118355"/>
        </c:manualLayout>
      </c:layout>
      <c:barChart>
        <c:barDir val="col"/>
        <c:grouping val="clustered"/>
        <c:varyColors val="0"/>
        <c:ser>
          <c:idx val="0"/>
          <c:order val="0"/>
          <c:tx>
            <c:strRef>
              <c:f>'Pivot Table'!$E$11</c:f>
              <c:strCache>
                <c:ptCount val="1"/>
                <c:pt idx="0">
                  <c:v>Analyst</c:v>
                </c:pt>
              </c:strCache>
            </c:strRef>
          </c:tx>
          <c:spPr>
            <a:solidFill>
              <a:srgbClr val="439028"/>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Table'!$G$11</c:f>
              <c:numCache>
                <c:formatCode>General</c:formatCode>
                <c:ptCount val="1"/>
                <c:pt idx="0">
                  <c:v>28</c:v>
                </c:pt>
              </c:numCache>
            </c:numRef>
          </c:val>
          <c:extLst>
            <c:ext xmlns:c16="http://schemas.microsoft.com/office/drawing/2014/chart" uri="{C3380CC4-5D6E-409C-BE32-E72D297353CC}">
              <c16:uniqueId val="{00000000-1408-4B6E-B786-48B642A030CD}"/>
            </c:ext>
          </c:extLst>
        </c:ser>
        <c:ser>
          <c:idx val="1"/>
          <c:order val="1"/>
          <c:tx>
            <c:strRef>
              <c:f>'Pivot Table'!$E$12</c:f>
              <c:strCache>
                <c:ptCount val="1"/>
                <c:pt idx="0">
                  <c:v>Designer</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Table'!$G$12</c:f>
              <c:numCache>
                <c:formatCode>General</c:formatCode>
                <c:ptCount val="1"/>
                <c:pt idx="0">
                  <c:v>110</c:v>
                </c:pt>
              </c:numCache>
            </c:numRef>
          </c:val>
          <c:extLst>
            <c:ext xmlns:c16="http://schemas.microsoft.com/office/drawing/2014/chart" uri="{C3380CC4-5D6E-409C-BE32-E72D297353CC}">
              <c16:uniqueId val="{00000001-1408-4B6E-B786-48B642A030CD}"/>
            </c:ext>
          </c:extLst>
        </c:ser>
        <c:ser>
          <c:idx val="2"/>
          <c:order val="2"/>
          <c:tx>
            <c:strRef>
              <c:f>'Pivot Table'!$E$13</c:f>
              <c:strCache>
                <c:ptCount val="1"/>
                <c:pt idx="0">
                  <c:v>Developer</c:v>
                </c:pt>
              </c:strCache>
            </c:strRef>
          </c:tx>
          <c:spPr>
            <a:solidFill>
              <a:srgbClr val="978E1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Table'!$G$13</c:f>
              <c:numCache>
                <c:formatCode>General</c:formatCode>
                <c:ptCount val="1"/>
                <c:pt idx="0">
                  <c:v>104</c:v>
                </c:pt>
              </c:numCache>
            </c:numRef>
          </c:val>
          <c:extLst>
            <c:ext xmlns:c16="http://schemas.microsoft.com/office/drawing/2014/chart" uri="{C3380CC4-5D6E-409C-BE32-E72D297353CC}">
              <c16:uniqueId val="{00000002-1408-4B6E-B786-48B642A030CD}"/>
            </c:ext>
          </c:extLst>
        </c:ser>
        <c:ser>
          <c:idx val="3"/>
          <c:order val="3"/>
          <c:tx>
            <c:strRef>
              <c:f>'Pivot Table'!$E$14</c:f>
              <c:strCache>
                <c:ptCount val="1"/>
                <c:pt idx="0">
                  <c:v>HR Specialist</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Table'!$G$14</c:f>
              <c:numCache>
                <c:formatCode>General</c:formatCode>
                <c:ptCount val="1"/>
                <c:pt idx="0">
                  <c:v>123</c:v>
                </c:pt>
              </c:numCache>
            </c:numRef>
          </c:val>
          <c:extLst>
            <c:ext xmlns:c16="http://schemas.microsoft.com/office/drawing/2014/chart" uri="{C3380CC4-5D6E-409C-BE32-E72D297353CC}">
              <c16:uniqueId val="{00000003-1408-4B6E-B786-48B642A030CD}"/>
            </c:ext>
          </c:extLst>
        </c:ser>
        <c:ser>
          <c:idx val="4"/>
          <c:order val="4"/>
          <c:tx>
            <c:strRef>
              <c:f>'Pivot Table'!$E$15</c:f>
              <c:strCache>
                <c:ptCount val="1"/>
                <c:pt idx="0">
                  <c:v>Manager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Table'!$G$15</c:f>
              <c:numCache>
                <c:formatCode>General</c:formatCode>
                <c:ptCount val="1"/>
                <c:pt idx="0">
                  <c:v>122</c:v>
                </c:pt>
              </c:numCache>
            </c:numRef>
          </c:val>
          <c:extLst>
            <c:ext xmlns:c16="http://schemas.microsoft.com/office/drawing/2014/chart" uri="{C3380CC4-5D6E-409C-BE32-E72D297353CC}">
              <c16:uniqueId val="{00000004-1408-4B6E-B786-48B642A030CD}"/>
            </c:ext>
          </c:extLst>
        </c:ser>
        <c:dLbls>
          <c:dLblPos val="outEnd"/>
          <c:showLegendKey val="0"/>
          <c:showVal val="1"/>
          <c:showCatName val="0"/>
          <c:showSerName val="0"/>
          <c:showPercent val="0"/>
          <c:showBubbleSize val="0"/>
        </c:dLbls>
        <c:gapWidth val="219"/>
        <c:overlap val="-27"/>
        <c:axId val="1929573136"/>
        <c:axId val="1929573616"/>
      </c:barChart>
      <c:catAx>
        <c:axId val="1929573136"/>
        <c:scaling>
          <c:orientation val="minMax"/>
        </c:scaling>
        <c:delete val="1"/>
        <c:axPos val="b"/>
        <c:numFmt formatCode="General" sourceLinked="1"/>
        <c:majorTickMark val="none"/>
        <c:minorTickMark val="none"/>
        <c:tickLblPos val="nextTo"/>
        <c:crossAx val="1929573616"/>
        <c:crosses val="autoZero"/>
        <c:auto val="1"/>
        <c:lblAlgn val="ctr"/>
        <c:lblOffset val="100"/>
        <c:noMultiLvlLbl val="0"/>
      </c:catAx>
      <c:valAx>
        <c:axId val="1929573616"/>
        <c:scaling>
          <c:orientation val="minMax"/>
        </c:scaling>
        <c:delete val="1"/>
        <c:axPos val="l"/>
        <c:numFmt formatCode="General" sourceLinked="1"/>
        <c:majorTickMark val="none"/>
        <c:minorTickMark val="none"/>
        <c:tickLblPos val="nextTo"/>
        <c:crossAx val="1929573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20891506208782"/>
          <c:y val="0.1078430540041269"/>
          <c:w val="0.7341776395597609"/>
          <c:h val="0.84313737599399718"/>
        </c:manualLayout>
      </c:layout>
      <c:barChart>
        <c:barDir val="bar"/>
        <c:grouping val="clustered"/>
        <c:varyColors val="0"/>
        <c:ser>
          <c:idx val="0"/>
          <c:order val="0"/>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Table'!$W$12:$W$16</c:f>
              <c:strCache>
                <c:ptCount val="5"/>
                <c:pt idx="0">
                  <c:v>Central</c:v>
                </c:pt>
                <c:pt idx="1">
                  <c:v>East</c:v>
                </c:pt>
                <c:pt idx="2">
                  <c:v>North</c:v>
                </c:pt>
                <c:pt idx="3">
                  <c:v>South</c:v>
                </c:pt>
                <c:pt idx="4">
                  <c:v>West</c:v>
                </c:pt>
              </c:strCache>
            </c:strRef>
          </c:cat>
          <c:val>
            <c:numRef>
              <c:f>'Pivot Table'!$X$12:$X$16</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6F7F-4EF4-A1C2-658612EF32A2}"/>
            </c:ext>
          </c:extLst>
        </c:ser>
        <c:dLbls>
          <c:showLegendKey val="0"/>
          <c:showVal val="0"/>
          <c:showCatName val="0"/>
          <c:showSerName val="0"/>
          <c:showPercent val="0"/>
          <c:showBubbleSize val="0"/>
        </c:dLbls>
        <c:gapWidth val="40"/>
        <c:axId val="1760785408"/>
        <c:axId val="1760769088"/>
      </c:barChart>
      <c:catAx>
        <c:axId val="17607854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0769088"/>
        <c:crosses val="autoZero"/>
        <c:auto val="1"/>
        <c:lblAlgn val="ctr"/>
        <c:lblOffset val="100"/>
        <c:noMultiLvlLbl val="0"/>
      </c:catAx>
      <c:valAx>
        <c:axId val="1760769088"/>
        <c:scaling>
          <c:orientation val="minMax"/>
        </c:scaling>
        <c:delete val="1"/>
        <c:axPos val="b"/>
        <c:numFmt formatCode="General" sourceLinked="1"/>
        <c:majorTickMark val="none"/>
        <c:minorTickMark val="none"/>
        <c:tickLblPos val="nextTo"/>
        <c:crossAx val="176078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microsoft.com/office/2007/relationships/hdphoto" Target="../media/hdphoto2.wdp"/><Relationship Id="rId18" Type="http://schemas.openxmlformats.org/officeDocument/2006/relationships/image" Target="../media/image5.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2.png"/><Relationship Id="rId17" Type="http://schemas.microsoft.com/office/2007/relationships/hdphoto" Target="../media/hdphoto4.wdp"/><Relationship Id="rId2" Type="http://schemas.openxmlformats.org/officeDocument/2006/relationships/chart" Target="../charts/chart11.xml"/><Relationship Id="rId16" Type="http://schemas.openxmlformats.org/officeDocument/2006/relationships/image" Target="../media/image4.png"/><Relationship Id="rId1" Type="http://schemas.openxmlformats.org/officeDocument/2006/relationships/chart" Target="../charts/chart10.xml"/><Relationship Id="rId6" Type="http://schemas.openxmlformats.org/officeDocument/2006/relationships/chart" Target="../charts/chart15.xml"/><Relationship Id="rId11" Type="http://schemas.microsoft.com/office/2007/relationships/hdphoto" Target="../media/hdphoto1.wdp"/><Relationship Id="rId5" Type="http://schemas.openxmlformats.org/officeDocument/2006/relationships/chart" Target="../charts/chart14.xml"/><Relationship Id="rId15" Type="http://schemas.microsoft.com/office/2007/relationships/hdphoto" Target="../media/hdphoto3.wdp"/><Relationship Id="rId10" Type="http://schemas.openxmlformats.org/officeDocument/2006/relationships/image" Target="../media/image1.png"/><Relationship Id="rId19" Type="http://schemas.microsoft.com/office/2007/relationships/hdphoto" Target="../media/hdphoto5.wdp"/><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19049</xdr:colOff>
      <xdr:row>13</xdr:row>
      <xdr:rowOff>28575</xdr:rowOff>
    </xdr:from>
    <xdr:to>
      <xdr:col>1</xdr:col>
      <xdr:colOff>1200150</xdr:colOff>
      <xdr:row>23</xdr:row>
      <xdr:rowOff>114300</xdr:rowOff>
    </xdr:to>
    <xdr:graphicFrame macro="">
      <xdr:nvGraphicFramePr>
        <xdr:cNvPr id="2" name="Chart 1">
          <a:extLst>
            <a:ext uri="{FF2B5EF4-FFF2-40B4-BE49-F238E27FC236}">
              <a16:creationId xmlns:a16="http://schemas.microsoft.com/office/drawing/2014/main" id="{2524904B-1904-01AC-A260-A97EDDD3B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9526</xdr:colOff>
      <xdr:row>16</xdr:row>
      <xdr:rowOff>142875</xdr:rowOff>
    </xdr:from>
    <xdr:to>
      <xdr:col>6</xdr:col>
      <xdr:colOff>0</xdr:colOff>
      <xdr:row>27</xdr:row>
      <xdr:rowOff>1</xdr:rowOff>
    </xdr:to>
    <xdr:graphicFrame macro="">
      <xdr:nvGraphicFramePr>
        <xdr:cNvPr id="3" name="Chart 2">
          <a:extLst>
            <a:ext uri="{FF2B5EF4-FFF2-40B4-BE49-F238E27FC236}">
              <a16:creationId xmlns:a16="http://schemas.microsoft.com/office/drawing/2014/main" id="{096EC035-710F-F476-9BCD-42BB3BB98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19050</xdr:colOff>
      <xdr:row>14</xdr:row>
      <xdr:rowOff>95250</xdr:rowOff>
    </xdr:from>
    <xdr:to>
      <xdr:col>16</xdr:col>
      <xdr:colOff>123825</xdr:colOff>
      <xdr:row>18</xdr:row>
      <xdr:rowOff>28575</xdr:rowOff>
    </xdr:to>
    <xdr:graphicFrame macro="">
      <xdr:nvGraphicFramePr>
        <xdr:cNvPr id="4" name="Chart 3">
          <a:extLst>
            <a:ext uri="{FF2B5EF4-FFF2-40B4-BE49-F238E27FC236}">
              <a16:creationId xmlns:a16="http://schemas.microsoft.com/office/drawing/2014/main" id="{8C3F7DF4-239A-D3CD-9A40-CF6144484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19</xdr:row>
      <xdr:rowOff>47626</xdr:rowOff>
    </xdr:from>
    <xdr:to>
      <xdr:col>16</xdr:col>
      <xdr:colOff>123825</xdr:colOff>
      <xdr:row>23</xdr:row>
      <xdr:rowOff>28576</xdr:rowOff>
    </xdr:to>
    <xdr:graphicFrame macro="">
      <xdr:nvGraphicFramePr>
        <xdr:cNvPr id="5" name="Chart 4">
          <a:extLst>
            <a:ext uri="{FF2B5EF4-FFF2-40B4-BE49-F238E27FC236}">
              <a16:creationId xmlns:a16="http://schemas.microsoft.com/office/drawing/2014/main" id="{F413AC9E-BD3D-B4FE-1C3B-B3EF51485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19052</xdr:colOff>
      <xdr:row>24</xdr:row>
      <xdr:rowOff>9525</xdr:rowOff>
    </xdr:from>
    <xdr:to>
      <xdr:col>16</xdr:col>
      <xdr:colOff>123826</xdr:colOff>
      <xdr:row>27</xdr:row>
      <xdr:rowOff>19050</xdr:rowOff>
    </xdr:to>
    <xdr:graphicFrame macro="">
      <xdr:nvGraphicFramePr>
        <xdr:cNvPr id="6" name="Chart 5">
          <a:extLst>
            <a:ext uri="{FF2B5EF4-FFF2-40B4-BE49-F238E27FC236}">
              <a16:creationId xmlns:a16="http://schemas.microsoft.com/office/drawing/2014/main" id="{DCA77944-4F21-DC46-FBF1-3B6280F4C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333375</xdr:colOff>
      <xdr:row>23</xdr:row>
      <xdr:rowOff>0</xdr:rowOff>
    </xdr:from>
    <xdr:to>
      <xdr:col>11</xdr:col>
      <xdr:colOff>333376</xdr:colOff>
      <xdr:row>28</xdr:row>
      <xdr:rowOff>180975</xdr:rowOff>
    </xdr:to>
    <xdr:graphicFrame macro="">
      <xdr:nvGraphicFramePr>
        <xdr:cNvPr id="7" name="Chart 6">
          <a:extLst>
            <a:ext uri="{FF2B5EF4-FFF2-40B4-BE49-F238E27FC236}">
              <a16:creationId xmlns:a16="http://schemas.microsoft.com/office/drawing/2014/main" id="{54BF4333-443A-9267-6824-5497FEDC0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9525</xdr:colOff>
      <xdr:row>22</xdr:row>
      <xdr:rowOff>123825</xdr:rowOff>
    </xdr:from>
    <xdr:to>
      <xdr:col>9</xdr:col>
      <xdr:colOff>190500</xdr:colOff>
      <xdr:row>29</xdr:row>
      <xdr:rowOff>76201</xdr:rowOff>
    </xdr:to>
    <xdr:graphicFrame macro="">
      <xdr:nvGraphicFramePr>
        <xdr:cNvPr id="8" name="Chart 7">
          <a:extLst>
            <a:ext uri="{FF2B5EF4-FFF2-40B4-BE49-F238E27FC236}">
              <a16:creationId xmlns:a16="http://schemas.microsoft.com/office/drawing/2014/main" id="{8483275B-D8F6-CDFF-01BB-99E734405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0</xdr:colOff>
      <xdr:row>28</xdr:row>
      <xdr:rowOff>114300</xdr:rowOff>
    </xdr:from>
    <xdr:to>
      <xdr:col>6</xdr:col>
      <xdr:colOff>876300</xdr:colOff>
      <xdr:row>40</xdr:row>
      <xdr:rowOff>114300</xdr:rowOff>
    </xdr:to>
    <xdr:graphicFrame macro="">
      <xdr:nvGraphicFramePr>
        <xdr:cNvPr id="9" name="Chart 8">
          <a:extLst>
            <a:ext uri="{FF2B5EF4-FFF2-40B4-BE49-F238E27FC236}">
              <a16:creationId xmlns:a16="http://schemas.microsoft.com/office/drawing/2014/main" id="{85CB5AB3-81AA-3861-3704-DB24F4957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895351</xdr:colOff>
      <xdr:row>18</xdr:row>
      <xdr:rowOff>38099</xdr:rowOff>
    </xdr:from>
    <xdr:to>
      <xdr:col>24</xdr:col>
      <xdr:colOff>133350</xdr:colOff>
      <xdr:row>26</xdr:row>
      <xdr:rowOff>152400</xdr:rowOff>
    </xdr:to>
    <xdr:graphicFrame macro="">
      <xdr:nvGraphicFramePr>
        <xdr:cNvPr id="10" name="Chart 9">
          <a:extLst>
            <a:ext uri="{FF2B5EF4-FFF2-40B4-BE49-F238E27FC236}">
              <a16:creationId xmlns:a16="http://schemas.microsoft.com/office/drawing/2014/main" id="{2978175F-E235-9C05-6422-BE5A3F554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361950</xdr:colOff>
      <xdr:row>17</xdr:row>
      <xdr:rowOff>133350</xdr:rowOff>
    </xdr:from>
    <xdr:to>
      <xdr:col>22</xdr:col>
      <xdr:colOff>9525</xdr:colOff>
      <xdr:row>31</xdr:row>
      <xdr:rowOff>133350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8651A4A3-C1A7-9E5B-CA32-08C26EBFA5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125950"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466725</xdr:colOff>
      <xdr:row>17</xdr:row>
      <xdr:rowOff>76200</xdr:rowOff>
    </xdr:from>
    <xdr:to>
      <xdr:col>26</xdr:col>
      <xdr:colOff>647700</xdr:colOff>
      <xdr:row>31</xdr:row>
      <xdr:rowOff>76200</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ACC78DE0-6757-5B23-F2E4-F80336AA7B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545550" y="3314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9525</xdr:rowOff>
    </xdr:from>
    <xdr:to>
      <xdr:col>15</xdr:col>
      <xdr:colOff>342900</xdr:colOff>
      <xdr:row>32</xdr:row>
      <xdr:rowOff>141525</xdr:rowOff>
    </xdr:to>
    <xdr:sp macro="" textlink="">
      <xdr:nvSpPr>
        <xdr:cNvPr id="2" name="Rectangle: Rounded Corners 1">
          <a:extLst>
            <a:ext uri="{FF2B5EF4-FFF2-40B4-BE49-F238E27FC236}">
              <a16:creationId xmlns:a16="http://schemas.microsoft.com/office/drawing/2014/main" id="{BD47B09C-330E-3937-7B24-8C1908CC3943}"/>
            </a:ext>
          </a:extLst>
        </xdr:cNvPr>
        <xdr:cNvSpPr/>
      </xdr:nvSpPr>
      <xdr:spPr>
        <a:xfrm>
          <a:off x="95250" y="9525"/>
          <a:ext cx="9391650" cy="6228000"/>
        </a:xfrm>
        <a:prstGeom prst="roundRect">
          <a:avLst>
            <a:gd name="adj" fmla="val 1193"/>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22</xdr:row>
      <xdr:rowOff>106050</xdr:rowOff>
    </xdr:from>
    <xdr:to>
      <xdr:col>3</xdr:col>
      <xdr:colOff>212550</xdr:colOff>
      <xdr:row>32</xdr:row>
      <xdr:rowOff>38100</xdr:rowOff>
    </xdr:to>
    <xdr:sp macro="" textlink="">
      <xdr:nvSpPr>
        <xdr:cNvPr id="3" name="Rectangle: Rounded Corners 2">
          <a:extLst>
            <a:ext uri="{FF2B5EF4-FFF2-40B4-BE49-F238E27FC236}">
              <a16:creationId xmlns:a16="http://schemas.microsoft.com/office/drawing/2014/main" id="{A1E93DA5-E4FC-A981-7B33-BFAF524DEEF3}"/>
            </a:ext>
          </a:extLst>
        </xdr:cNvPr>
        <xdr:cNvSpPr/>
      </xdr:nvSpPr>
      <xdr:spPr>
        <a:xfrm>
          <a:off x="133350" y="4297050"/>
          <a:ext cx="1908000" cy="1837050"/>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6</xdr:row>
      <xdr:rowOff>161925</xdr:rowOff>
    </xdr:from>
    <xdr:to>
      <xdr:col>3</xdr:col>
      <xdr:colOff>203025</xdr:colOff>
      <xdr:row>22</xdr:row>
      <xdr:rowOff>19050</xdr:rowOff>
    </xdr:to>
    <xdr:sp macro="" textlink="">
      <xdr:nvSpPr>
        <xdr:cNvPr id="4" name="Rectangle: Rounded Corners 3">
          <a:extLst>
            <a:ext uri="{FF2B5EF4-FFF2-40B4-BE49-F238E27FC236}">
              <a16:creationId xmlns:a16="http://schemas.microsoft.com/office/drawing/2014/main" id="{49A2FDFE-8982-4776-A0C3-EEEA2FDD3AB3}"/>
            </a:ext>
          </a:extLst>
        </xdr:cNvPr>
        <xdr:cNvSpPr/>
      </xdr:nvSpPr>
      <xdr:spPr>
        <a:xfrm>
          <a:off x="123825" y="1304925"/>
          <a:ext cx="1908000" cy="2905125"/>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309562</xdr:colOff>
      <xdr:row>20</xdr:row>
      <xdr:rowOff>9524</xdr:rowOff>
    </xdr:from>
    <xdr:to>
      <xdr:col>7</xdr:col>
      <xdr:colOff>139162</xdr:colOff>
      <xdr:row>32</xdr:row>
      <xdr:rowOff>38099</xdr:rowOff>
    </xdr:to>
    <xdr:sp macro="" textlink="">
      <xdr:nvSpPr>
        <xdr:cNvPr id="5" name="Rectangle: Rounded Corners 4">
          <a:extLst>
            <a:ext uri="{FF2B5EF4-FFF2-40B4-BE49-F238E27FC236}">
              <a16:creationId xmlns:a16="http://schemas.microsoft.com/office/drawing/2014/main" id="{875B140C-76C1-4797-858A-071C2D7C5636}"/>
            </a:ext>
          </a:extLst>
        </xdr:cNvPr>
        <xdr:cNvSpPr/>
      </xdr:nvSpPr>
      <xdr:spPr>
        <a:xfrm>
          <a:off x="2138362" y="3819524"/>
          <a:ext cx="2268000" cy="2314575"/>
        </a:xfrm>
        <a:prstGeom prst="roundRect">
          <a:avLst>
            <a:gd name="adj" fmla="val 631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276225</xdr:colOff>
      <xdr:row>6</xdr:row>
      <xdr:rowOff>171449</xdr:rowOff>
    </xdr:from>
    <xdr:to>
      <xdr:col>11</xdr:col>
      <xdr:colOff>105825</xdr:colOff>
      <xdr:row>19</xdr:row>
      <xdr:rowOff>85725</xdr:rowOff>
    </xdr:to>
    <xdr:sp macro="" textlink="">
      <xdr:nvSpPr>
        <xdr:cNvPr id="7" name="Rectangle: Rounded Corners 6">
          <a:extLst>
            <a:ext uri="{FF2B5EF4-FFF2-40B4-BE49-F238E27FC236}">
              <a16:creationId xmlns:a16="http://schemas.microsoft.com/office/drawing/2014/main" id="{8B92E89D-762D-4B45-BA07-5C2CDFC1F9FE}"/>
            </a:ext>
          </a:extLst>
        </xdr:cNvPr>
        <xdr:cNvSpPr/>
      </xdr:nvSpPr>
      <xdr:spPr>
        <a:xfrm>
          <a:off x="4543425" y="1314449"/>
          <a:ext cx="2268000" cy="2390776"/>
        </a:xfrm>
        <a:prstGeom prst="roundRect">
          <a:avLst>
            <a:gd name="adj" fmla="val 463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309562</xdr:colOff>
      <xdr:row>6</xdr:row>
      <xdr:rowOff>161925</xdr:rowOff>
    </xdr:from>
    <xdr:to>
      <xdr:col>7</xdr:col>
      <xdr:colOff>139162</xdr:colOff>
      <xdr:row>12</xdr:row>
      <xdr:rowOff>152401</xdr:rowOff>
    </xdr:to>
    <xdr:sp macro="" textlink="">
      <xdr:nvSpPr>
        <xdr:cNvPr id="8" name="Rectangle: Rounded Corners 7">
          <a:extLst>
            <a:ext uri="{FF2B5EF4-FFF2-40B4-BE49-F238E27FC236}">
              <a16:creationId xmlns:a16="http://schemas.microsoft.com/office/drawing/2014/main" id="{BCF3B002-AF56-4052-80FA-6A9E19E4CBF3}"/>
            </a:ext>
          </a:extLst>
        </xdr:cNvPr>
        <xdr:cNvSpPr/>
      </xdr:nvSpPr>
      <xdr:spPr>
        <a:xfrm>
          <a:off x="2138362" y="1304925"/>
          <a:ext cx="2268000" cy="1133476"/>
        </a:xfrm>
        <a:prstGeom prst="roundRect">
          <a:avLst>
            <a:gd name="adj" fmla="val 589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314325</xdr:colOff>
      <xdr:row>13</xdr:row>
      <xdr:rowOff>76200</xdr:rowOff>
    </xdr:from>
    <xdr:to>
      <xdr:col>5</xdr:col>
      <xdr:colOff>133350</xdr:colOff>
      <xdr:row>19</xdr:row>
      <xdr:rowOff>13200</xdr:rowOff>
    </xdr:to>
    <xdr:sp macro="" textlink="">
      <xdr:nvSpPr>
        <xdr:cNvPr id="9" name="Rectangle: Rounded Corners 8">
          <a:extLst>
            <a:ext uri="{FF2B5EF4-FFF2-40B4-BE49-F238E27FC236}">
              <a16:creationId xmlns:a16="http://schemas.microsoft.com/office/drawing/2014/main" id="{052497F2-85BC-4F85-8D25-8840E392989F}"/>
            </a:ext>
          </a:extLst>
        </xdr:cNvPr>
        <xdr:cNvSpPr/>
      </xdr:nvSpPr>
      <xdr:spPr>
        <a:xfrm>
          <a:off x="2143125" y="2552700"/>
          <a:ext cx="1038225" cy="1080000"/>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219075</xdr:colOff>
      <xdr:row>13</xdr:row>
      <xdr:rowOff>76200</xdr:rowOff>
    </xdr:from>
    <xdr:to>
      <xdr:col>7</xdr:col>
      <xdr:colOff>123825</xdr:colOff>
      <xdr:row>19</xdr:row>
      <xdr:rowOff>13200</xdr:rowOff>
    </xdr:to>
    <xdr:sp macro="" textlink="">
      <xdr:nvSpPr>
        <xdr:cNvPr id="10" name="Rectangle: Rounded Corners 9">
          <a:extLst>
            <a:ext uri="{FF2B5EF4-FFF2-40B4-BE49-F238E27FC236}">
              <a16:creationId xmlns:a16="http://schemas.microsoft.com/office/drawing/2014/main" id="{79A53A64-6A18-4657-A353-ADD2DDB7A8FC}"/>
            </a:ext>
          </a:extLst>
        </xdr:cNvPr>
        <xdr:cNvSpPr/>
      </xdr:nvSpPr>
      <xdr:spPr>
        <a:xfrm>
          <a:off x="3267075" y="2552700"/>
          <a:ext cx="1123950" cy="1080000"/>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304800</xdr:colOff>
      <xdr:row>26</xdr:row>
      <xdr:rowOff>57150</xdr:rowOff>
    </xdr:from>
    <xdr:to>
      <xdr:col>13</xdr:col>
      <xdr:colOff>165600</xdr:colOff>
      <xdr:row>31</xdr:row>
      <xdr:rowOff>184650</xdr:rowOff>
    </xdr:to>
    <xdr:sp macro="" textlink="">
      <xdr:nvSpPr>
        <xdr:cNvPr id="11" name="Rectangle: Rounded Corners 10">
          <a:extLst>
            <a:ext uri="{FF2B5EF4-FFF2-40B4-BE49-F238E27FC236}">
              <a16:creationId xmlns:a16="http://schemas.microsoft.com/office/drawing/2014/main" id="{9567D7D1-531D-4F49-885B-2CC773011543}"/>
            </a:ext>
          </a:extLst>
        </xdr:cNvPr>
        <xdr:cNvSpPr/>
      </xdr:nvSpPr>
      <xdr:spPr>
        <a:xfrm>
          <a:off x="7010400" y="5010150"/>
          <a:ext cx="1080000" cy="1080000"/>
        </a:xfrm>
        <a:prstGeom prst="roundRect">
          <a:avLst>
            <a:gd name="adj" fmla="val 421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280987</xdr:colOff>
      <xdr:row>26</xdr:row>
      <xdr:rowOff>57150</xdr:rowOff>
    </xdr:from>
    <xdr:to>
      <xdr:col>15</xdr:col>
      <xdr:colOff>141787</xdr:colOff>
      <xdr:row>31</xdr:row>
      <xdr:rowOff>184650</xdr:rowOff>
    </xdr:to>
    <xdr:sp macro="" textlink="">
      <xdr:nvSpPr>
        <xdr:cNvPr id="12" name="Rectangle: Rounded Corners 11">
          <a:extLst>
            <a:ext uri="{FF2B5EF4-FFF2-40B4-BE49-F238E27FC236}">
              <a16:creationId xmlns:a16="http://schemas.microsoft.com/office/drawing/2014/main" id="{6803D4AB-3036-4739-8A73-135D785BE888}"/>
            </a:ext>
          </a:extLst>
        </xdr:cNvPr>
        <xdr:cNvSpPr/>
      </xdr:nvSpPr>
      <xdr:spPr>
        <a:xfrm>
          <a:off x="8205787" y="5010150"/>
          <a:ext cx="1080000" cy="1080000"/>
        </a:xfrm>
        <a:prstGeom prst="roundRect">
          <a:avLst>
            <a:gd name="adj" fmla="val 421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280987</xdr:colOff>
      <xdr:row>20</xdr:row>
      <xdr:rowOff>0</xdr:rowOff>
    </xdr:from>
    <xdr:to>
      <xdr:col>15</xdr:col>
      <xdr:colOff>141787</xdr:colOff>
      <xdr:row>25</xdr:row>
      <xdr:rowOff>127500</xdr:rowOff>
    </xdr:to>
    <xdr:sp macro="" textlink="">
      <xdr:nvSpPr>
        <xdr:cNvPr id="13" name="Rectangle: Rounded Corners 12">
          <a:extLst>
            <a:ext uri="{FF2B5EF4-FFF2-40B4-BE49-F238E27FC236}">
              <a16:creationId xmlns:a16="http://schemas.microsoft.com/office/drawing/2014/main" id="{66656233-69EB-42A4-A937-9E92D18FA54A}"/>
            </a:ext>
          </a:extLst>
        </xdr:cNvPr>
        <xdr:cNvSpPr/>
      </xdr:nvSpPr>
      <xdr:spPr>
        <a:xfrm>
          <a:off x="8205787" y="3810000"/>
          <a:ext cx="1080000" cy="1080000"/>
        </a:xfrm>
        <a:prstGeom prst="roundRect">
          <a:avLst>
            <a:gd name="adj" fmla="val 421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238124</xdr:colOff>
      <xdr:row>9</xdr:row>
      <xdr:rowOff>95249</xdr:rowOff>
    </xdr:from>
    <xdr:to>
      <xdr:col>15</xdr:col>
      <xdr:colOff>171449</xdr:colOff>
      <xdr:row>18</xdr:row>
      <xdr:rowOff>123825</xdr:rowOff>
    </xdr:to>
    <xdr:sp macro="" textlink="">
      <xdr:nvSpPr>
        <xdr:cNvPr id="15" name="Rectangle: Rounded Corners 14">
          <a:extLst>
            <a:ext uri="{FF2B5EF4-FFF2-40B4-BE49-F238E27FC236}">
              <a16:creationId xmlns:a16="http://schemas.microsoft.com/office/drawing/2014/main" id="{C91BD1C4-A7F7-4220-B769-7EC8368D4A68}"/>
            </a:ext>
          </a:extLst>
        </xdr:cNvPr>
        <xdr:cNvSpPr/>
      </xdr:nvSpPr>
      <xdr:spPr>
        <a:xfrm>
          <a:off x="6943724" y="1809749"/>
          <a:ext cx="2371725" cy="1743076"/>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219074</xdr:colOff>
      <xdr:row>1</xdr:row>
      <xdr:rowOff>9525</xdr:rowOff>
    </xdr:from>
    <xdr:to>
      <xdr:col>15</xdr:col>
      <xdr:colOff>171449</xdr:colOff>
      <xdr:row>9</xdr:row>
      <xdr:rowOff>19050</xdr:rowOff>
    </xdr:to>
    <xdr:sp macro="" textlink="">
      <xdr:nvSpPr>
        <xdr:cNvPr id="16" name="Rectangle: Rounded Corners 15">
          <a:extLst>
            <a:ext uri="{FF2B5EF4-FFF2-40B4-BE49-F238E27FC236}">
              <a16:creationId xmlns:a16="http://schemas.microsoft.com/office/drawing/2014/main" id="{B379E45E-B6BB-428B-A74F-0551A2EAD35A}"/>
            </a:ext>
          </a:extLst>
        </xdr:cNvPr>
        <xdr:cNvSpPr/>
      </xdr:nvSpPr>
      <xdr:spPr>
        <a:xfrm>
          <a:off x="6924674" y="200025"/>
          <a:ext cx="2390775" cy="1533525"/>
        </a:xfrm>
        <a:prstGeom prst="roundRect">
          <a:avLst>
            <a:gd name="adj" fmla="val 925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247649</xdr:colOff>
      <xdr:row>19</xdr:row>
      <xdr:rowOff>161924</xdr:rowOff>
    </xdr:from>
    <xdr:to>
      <xdr:col>15</xdr:col>
      <xdr:colOff>161925</xdr:colOff>
      <xdr:row>23</xdr:row>
      <xdr:rowOff>95249</xdr:rowOff>
    </xdr:to>
    <xdr:sp macro="" textlink="">
      <xdr:nvSpPr>
        <xdr:cNvPr id="17" name="TextBox 16">
          <a:extLst>
            <a:ext uri="{FF2B5EF4-FFF2-40B4-BE49-F238E27FC236}">
              <a16:creationId xmlns:a16="http://schemas.microsoft.com/office/drawing/2014/main" id="{2A0D6EA5-D158-031E-B809-D59B62B3486E}"/>
            </a:ext>
          </a:extLst>
        </xdr:cNvPr>
        <xdr:cNvSpPr txBox="1"/>
      </xdr:nvSpPr>
      <xdr:spPr>
        <a:xfrm>
          <a:off x="8172449" y="3781424"/>
          <a:ext cx="1133476"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Part </a:t>
          </a:r>
        </a:p>
        <a:p>
          <a:r>
            <a:rPr lang="en-US" sz="1100">
              <a:solidFill>
                <a:schemeClr val="bg1"/>
              </a:solidFill>
              <a:latin typeface="Segoe UI Semibold" panose="020B0702040204020203" pitchFamily="34" charset="0"/>
              <a:cs typeface="Segoe UI Semibold" panose="020B0702040204020203" pitchFamily="34" charset="0"/>
            </a:rPr>
            <a:t>time</a:t>
          </a:r>
        </a:p>
        <a:p>
          <a:r>
            <a:rPr lang="en-US" sz="1100">
              <a:solidFill>
                <a:schemeClr val="bg1"/>
              </a:solidFill>
              <a:latin typeface="Segoe UI Semibold" panose="020B0702040204020203" pitchFamily="34" charset="0"/>
              <a:cs typeface="Segoe UI Semibold" panose="020B0702040204020203" pitchFamily="34" charset="0"/>
            </a:rPr>
            <a:t>Employees</a:t>
          </a:r>
        </a:p>
      </xdr:txBody>
    </xdr:sp>
    <xdr:clientData/>
  </xdr:twoCellAnchor>
  <xdr:twoCellAnchor>
    <xdr:from>
      <xdr:col>14</xdr:col>
      <xdr:colOff>209550</xdr:colOff>
      <xdr:row>22</xdr:row>
      <xdr:rowOff>133349</xdr:rowOff>
    </xdr:from>
    <xdr:to>
      <xdr:col>15</xdr:col>
      <xdr:colOff>295275</xdr:colOff>
      <xdr:row>25</xdr:row>
      <xdr:rowOff>85724</xdr:rowOff>
    </xdr:to>
    <xdr:sp macro="" textlink="'Pivot Table'!B12">
      <xdr:nvSpPr>
        <xdr:cNvPr id="18" name="TextBox 17">
          <a:extLst>
            <a:ext uri="{FF2B5EF4-FFF2-40B4-BE49-F238E27FC236}">
              <a16:creationId xmlns:a16="http://schemas.microsoft.com/office/drawing/2014/main" id="{859EFC5F-4952-4F01-BE5A-DF4DE98EF20D}"/>
            </a:ext>
          </a:extLst>
        </xdr:cNvPr>
        <xdr:cNvSpPr txBox="1"/>
      </xdr:nvSpPr>
      <xdr:spPr>
        <a:xfrm>
          <a:off x="8743950" y="4324349"/>
          <a:ext cx="6953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17B016-0F26-45EA-8209-371F055AFA0E}" type="TxLink">
            <a:rPr lang="en-US" sz="2800" b="0" i="0" u="none" strike="noStrike">
              <a:solidFill>
                <a:schemeClr val="bg1"/>
              </a:solidFill>
              <a:latin typeface="Segoe UI Black" panose="020B0A02040204020203" pitchFamily="34" charset="0"/>
              <a:ea typeface="Segoe UI Black" panose="020B0A02040204020203" pitchFamily="34" charset="0"/>
            </a:rPr>
            <a:pPr/>
            <a:t>13</a:t>
          </a:fld>
          <a:endParaRPr lang="en-US" sz="28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280987</xdr:colOff>
      <xdr:row>26</xdr:row>
      <xdr:rowOff>57150</xdr:rowOff>
    </xdr:from>
    <xdr:to>
      <xdr:col>15</xdr:col>
      <xdr:colOff>195263</xdr:colOff>
      <xdr:row>29</xdr:row>
      <xdr:rowOff>180975</xdr:rowOff>
    </xdr:to>
    <xdr:sp macro="" textlink="">
      <xdr:nvSpPr>
        <xdr:cNvPr id="19" name="TextBox 18">
          <a:extLst>
            <a:ext uri="{FF2B5EF4-FFF2-40B4-BE49-F238E27FC236}">
              <a16:creationId xmlns:a16="http://schemas.microsoft.com/office/drawing/2014/main" id="{2CF98250-E022-439F-A3EB-7B0FF10C9B0E}"/>
            </a:ext>
          </a:extLst>
        </xdr:cNvPr>
        <xdr:cNvSpPr txBox="1"/>
      </xdr:nvSpPr>
      <xdr:spPr>
        <a:xfrm>
          <a:off x="8205787" y="5010150"/>
          <a:ext cx="1133476"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Full</a:t>
          </a:r>
        </a:p>
        <a:p>
          <a:r>
            <a:rPr lang="en-US" sz="1100">
              <a:solidFill>
                <a:schemeClr val="bg1"/>
              </a:solidFill>
              <a:latin typeface="Segoe UI Semibold" panose="020B0702040204020203" pitchFamily="34" charset="0"/>
              <a:cs typeface="Segoe UI Semibold" panose="020B0702040204020203" pitchFamily="34" charset="0"/>
            </a:rPr>
            <a:t>time</a:t>
          </a:r>
        </a:p>
        <a:p>
          <a:r>
            <a:rPr lang="en-US" sz="1100">
              <a:solidFill>
                <a:schemeClr val="bg1"/>
              </a:solidFill>
              <a:latin typeface="Segoe UI Semibold" panose="020B0702040204020203" pitchFamily="34" charset="0"/>
              <a:cs typeface="Segoe UI Semibold" panose="020B0702040204020203" pitchFamily="34" charset="0"/>
            </a:rPr>
            <a:t>Employees</a:t>
          </a:r>
        </a:p>
      </xdr:txBody>
    </xdr:sp>
    <xdr:clientData/>
  </xdr:twoCellAnchor>
  <xdr:twoCellAnchor>
    <xdr:from>
      <xdr:col>14</xdr:col>
      <xdr:colOff>214312</xdr:colOff>
      <xdr:row>29</xdr:row>
      <xdr:rowOff>38100</xdr:rowOff>
    </xdr:from>
    <xdr:to>
      <xdr:col>15</xdr:col>
      <xdr:colOff>300037</xdr:colOff>
      <xdr:row>31</xdr:row>
      <xdr:rowOff>180975</xdr:rowOff>
    </xdr:to>
    <xdr:sp macro="" textlink="'Pivot Table'!B11">
      <xdr:nvSpPr>
        <xdr:cNvPr id="20" name="TextBox 19">
          <a:extLst>
            <a:ext uri="{FF2B5EF4-FFF2-40B4-BE49-F238E27FC236}">
              <a16:creationId xmlns:a16="http://schemas.microsoft.com/office/drawing/2014/main" id="{DD532AAE-FF22-411A-863E-0451085281A1}"/>
            </a:ext>
          </a:extLst>
        </xdr:cNvPr>
        <xdr:cNvSpPr txBox="1"/>
      </xdr:nvSpPr>
      <xdr:spPr>
        <a:xfrm>
          <a:off x="8748712" y="5562600"/>
          <a:ext cx="6953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4178F6-0A83-4F87-8824-09F92ECF7C7B}" type="TxLink">
            <a:rPr lang="en-US" sz="2800" b="0" i="0" u="none" strike="noStrike">
              <a:solidFill>
                <a:schemeClr val="bg1"/>
              </a:solidFill>
              <a:latin typeface="Segoe UI Black" panose="020B0A02040204020203" pitchFamily="34" charset="0"/>
              <a:ea typeface="Segoe UI Black" panose="020B0A02040204020203" pitchFamily="34" charset="0"/>
              <a:cs typeface="+mn-cs"/>
            </a:rPr>
            <a:pPr marL="0" indent="0"/>
            <a:t>20</a:t>
          </a:fld>
          <a:endParaRPr lang="en-US" sz="2800" b="0" i="0" u="none" strike="noStrike">
            <a:solidFill>
              <a:schemeClr val="bg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11</xdr:col>
      <xdr:colOff>304800</xdr:colOff>
      <xdr:row>26</xdr:row>
      <xdr:rowOff>57150</xdr:rowOff>
    </xdr:from>
    <xdr:to>
      <xdr:col>13</xdr:col>
      <xdr:colOff>219076</xdr:colOff>
      <xdr:row>29</xdr:row>
      <xdr:rowOff>180975</xdr:rowOff>
    </xdr:to>
    <xdr:sp macro="" textlink="">
      <xdr:nvSpPr>
        <xdr:cNvPr id="21" name="TextBox 20">
          <a:extLst>
            <a:ext uri="{FF2B5EF4-FFF2-40B4-BE49-F238E27FC236}">
              <a16:creationId xmlns:a16="http://schemas.microsoft.com/office/drawing/2014/main" id="{6733D271-7B5B-4911-8368-F76039D4CEA5}"/>
            </a:ext>
          </a:extLst>
        </xdr:cNvPr>
        <xdr:cNvSpPr txBox="1"/>
      </xdr:nvSpPr>
      <xdr:spPr>
        <a:xfrm>
          <a:off x="7010400" y="5010150"/>
          <a:ext cx="1133476"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Employees </a:t>
          </a:r>
        </a:p>
        <a:p>
          <a:r>
            <a:rPr lang="en-US" sz="1100">
              <a:solidFill>
                <a:schemeClr val="bg1"/>
              </a:solidFill>
              <a:latin typeface="Segoe UI Semibold" panose="020B0702040204020203" pitchFamily="34" charset="0"/>
              <a:cs typeface="Segoe UI Semibold" panose="020B0702040204020203" pitchFamily="34" charset="0"/>
            </a:rPr>
            <a:t>with</a:t>
          </a:r>
        </a:p>
        <a:p>
          <a:r>
            <a:rPr lang="en-US" sz="1100">
              <a:solidFill>
                <a:schemeClr val="bg1"/>
              </a:solidFill>
              <a:latin typeface="Segoe UI Semibold" panose="020B0702040204020203" pitchFamily="34" charset="0"/>
              <a:cs typeface="Segoe UI Semibold" panose="020B0702040204020203" pitchFamily="34" charset="0"/>
            </a:rPr>
            <a:t>contracts</a:t>
          </a:r>
        </a:p>
      </xdr:txBody>
    </xdr:sp>
    <xdr:clientData/>
  </xdr:twoCellAnchor>
  <xdr:twoCellAnchor>
    <xdr:from>
      <xdr:col>12</xdr:col>
      <xdr:colOff>190500</xdr:colOff>
      <xdr:row>29</xdr:row>
      <xdr:rowOff>19050</xdr:rowOff>
    </xdr:from>
    <xdr:to>
      <xdr:col>13</xdr:col>
      <xdr:colOff>276225</xdr:colOff>
      <xdr:row>31</xdr:row>
      <xdr:rowOff>161925</xdr:rowOff>
    </xdr:to>
    <xdr:sp macro="" textlink="'Pivot Table'!B10">
      <xdr:nvSpPr>
        <xdr:cNvPr id="22" name="TextBox 21">
          <a:extLst>
            <a:ext uri="{FF2B5EF4-FFF2-40B4-BE49-F238E27FC236}">
              <a16:creationId xmlns:a16="http://schemas.microsoft.com/office/drawing/2014/main" id="{57E3FE21-26EB-4010-90A3-FDC5E422EC4A}"/>
            </a:ext>
          </a:extLst>
        </xdr:cNvPr>
        <xdr:cNvSpPr txBox="1"/>
      </xdr:nvSpPr>
      <xdr:spPr>
        <a:xfrm>
          <a:off x="7505700" y="5543550"/>
          <a:ext cx="6953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C29BA5-1E42-4E15-B3A4-653ED8F9FE68}" type="TxLink">
            <a:rPr lang="en-US" sz="2800" b="0" i="0" u="none" strike="noStrike">
              <a:solidFill>
                <a:schemeClr val="bg1"/>
              </a:solidFill>
              <a:latin typeface="Segoe UI Black" panose="020B0A02040204020203" pitchFamily="34" charset="0"/>
              <a:ea typeface="Segoe UI Black" panose="020B0A02040204020203" pitchFamily="34" charset="0"/>
              <a:cs typeface="+mn-cs"/>
            </a:rPr>
            <a:pPr marL="0" indent="0"/>
            <a:t>17</a:t>
          </a:fld>
          <a:endParaRPr lang="en-US" sz="2800" b="0" i="0" u="none" strike="noStrike">
            <a:solidFill>
              <a:schemeClr val="bg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7</xdr:col>
      <xdr:colOff>276225</xdr:colOff>
      <xdr:row>19</xdr:row>
      <xdr:rowOff>142875</xdr:rowOff>
    </xdr:from>
    <xdr:to>
      <xdr:col>11</xdr:col>
      <xdr:colOff>105825</xdr:colOff>
      <xdr:row>32</xdr:row>
      <xdr:rowOff>28575</xdr:rowOff>
    </xdr:to>
    <xdr:sp macro="" textlink="">
      <xdr:nvSpPr>
        <xdr:cNvPr id="57" name="Rectangle: Rounded Corners 56">
          <a:extLst>
            <a:ext uri="{FF2B5EF4-FFF2-40B4-BE49-F238E27FC236}">
              <a16:creationId xmlns:a16="http://schemas.microsoft.com/office/drawing/2014/main" id="{510FFD65-B45B-4352-A123-47F25BF25827}"/>
            </a:ext>
          </a:extLst>
        </xdr:cNvPr>
        <xdr:cNvSpPr/>
      </xdr:nvSpPr>
      <xdr:spPr>
        <a:xfrm>
          <a:off x="4543425" y="3762375"/>
          <a:ext cx="2268000" cy="2362200"/>
        </a:xfrm>
        <a:prstGeom prst="roundRect">
          <a:avLst>
            <a:gd name="adj" fmla="val 4639"/>
          </a:avLst>
        </a:prstGeom>
        <a:solidFill>
          <a:schemeClr val="tx1">
            <a:lumMod val="75000"/>
            <a:lumOff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238125</xdr:colOff>
      <xdr:row>21</xdr:row>
      <xdr:rowOff>180975</xdr:rowOff>
    </xdr:from>
    <xdr:to>
      <xdr:col>9</xdr:col>
      <xdr:colOff>152401</xdr:colOff>
      <xdr:row>23</xdr:row>
      <xdr:rowOff>57150</xdr:rowOff>
    </xdr:to>
    <xdr:sp macro="" textlink="">
      <xdr:nvSpPr>
        <xdr:cNvPr id="23" name="TextBox 22">
          <a:extLst>
            <a:ext uri="{FF2B5EF4-FFF2-40B4-BE49-F238E27FC236}">
              <a16:creationId xmlns:a16="http://schemas.microsoft.com/office/drawing/2014/main" id="{8852A867-836A-468F-9E89-B97F6D732C92}"/>
            </a:ext>
          </a:extLst>
        </xdr:cNvPr>
        <xdr:cNvSpPr txBox="1"/>
      </xdr:nvSpPr>
      <xdr:spPr>
        <a:xfrm>
          <a:off x="4505325" y="418147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Total</a:t>
          </a:r>
          <a:r>
            <a:rPr lang="en-US" sz="1100" baseline="0">
              <a:solidFill>
                <a:schemeClr val="bg1"/>
              </a:solidFill>
              <a:latin typeface="Segoe UI Semibold" panose="020B0702040204020203" pitchFamily="34" charset="0"/>
              <a:cs typeface="Segoe UI Semibold" panose="020B0702040204020203" pitchFamily="34" charset="0"/>
            </a:rPr>
            <a:t> Salaries</a:t>
          </a:r>
          <a:endParaRPr lang="en-US"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257175</xdr:colOff>
      <xdr:row>23</xdr:row>
      <xdr:rowOff>104775</xdr:rowOff>
    </xdr:from>
    <xdr:to>
      <xdr:col>9</xdr:col>
      <xdr:colOff>171451</xdr:colOff>
      <xdr:row>24</xdr:row>
      <xdr:rowOff>171450</xdr:rowOff>
    </xdr:to>
    <xdr:sp macro="" textlink="">
      <xdr:nvSpPr>
        <xdr:cNvPr id="14" name="TextBox 13">
          <a:extLst>
            <a:ext uri="{FF2B5EF4-FFF2-40B4-BE49-F238E27FC236}">
              <a16:creationId xmlns:a16="http://schemas.microsoft.com/office/drawing/2014/main" id="{A0213516-B03E-40C4-8A17-91B6F50C2162}"/>
            </a:ext>
          </a:extLst>
        </xdr:cNvPr>
        <xdr:cNvSpPr txBox="1"/>
      </xdr:nvSpPr>
      <xdr:spPr>
        <a:xfrm>
          <a:off x="4524375" y="448627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Managers</a:t>
          </a:r>
        </a:p>
      </xdr:txBody>
    </xdr:sp>
    <xdr:clientData/>
  </xdr:twoCellAnchor>
  <xdr:twoCellAnchor>
    <xdr:from>
      <xdr:col>7</xdr:col>
      <xdr:colOff>266700</xdr:colOff>
      <xdr:row>25</xdr:row>
      <xdr:rowOff>47625</xdr:rowOff>
    </xdr:from>
    <xdr:to>
      <xdr:col>9</xdr:col>
      <xdr:colOff>180976</xdr:colOff>
      <xdr:row>26</xdr:row>
      <xdr:rowOff>114300</xdr:rowOff>
    </xdr:to>
    <xdr:sp macro="" textlink="">
      <xdr:nvSpPr>
        <xdr:cNvPr id="24" name="TextBox 23">
          <a:extLst>
            <a:ext uri="{FF2B5EF4-FFF2-40B4-BE49-F238E27FC236}">
              <a16:creationId xmlns:a16="http://schemas.microsoft.com/office/drawing/2014/main" id="{CC327298-C03C-495E-8687-9D343A1A0F44}"/>
            </a:ext>
          </a:extLst>
        </xdr:cNvPr>
        <xdr:cNvSpPr txBox="1"/>
      </xdr:nvSpPr>
      <xdr:spPr>
        <a:xfrm>
          <a:off x="4533900" y="48101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HR</a:t>
          </a:r>
          <a:r>
            <a:rPr lang="en-US" sz="1100" baseline="0">
              <a:solidFill>
                <a:schemeClr val="bg1"/>
              </a:solidFill>
              <a:latin typeface="Segoe UI Semibold" panose="020B0702040204020203" pitchFamily="34" charset="0"/>
              <a:cs typeface="Segoe UI Semibold" panose="020B0702040204020203" pitchFamily="34" charset="0"/>
            </a:rPr>
            <a:t> Specialists</a:t>
          </a:r>
          <a:endParaRPr lang="en-US"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276225</xdr:colOff>
      <xdr:row>26</xdr:row>
      <xdr:rowOff>171450</xdr:rowOff>
    </xdr:from>
    <xdr:to>
      <xdr:col>9</xdr:col>
      <xdr:colOff>190501</xdr:colOff>
      <xdr:row>28</xdr:row>
      <xdr:rowOff>47625</xdr:rowOff>
    </xdr:to>
    <xdr:sp macro="" textlink="">
      <xdr:nvSpPr>
        <xdr:cNvPr id="25" name="TextBox 24">
          <a:extLst>
            <a:ext uri="{FF2B5EF4-FFF2-40B4-BE49-F238E27FC236}">
              <a16:creationId xmlns:a16="http://schemas.microsoft.com/office/drawing/2014/main" id="{BF616200-C0BF-4AA3-BFE9-41334C14434E}"/>
            </a:ext>
          </a:extLst>
        </xdr:cNvPr>
        <xdr:cNvSpPr txBox="1"/>
      </xdr:nvSpPr>
      <xdr:spPr>
        <a:xfrm>
          <a:off x="4543425" y="512445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Developers</a:t>
          </a:r>
        </a:p>
      </xdr:txBody>
    </xdr:sp>
    <xdr:clientData/>
  </xdr:twoCellAnchor>
  <xdr:twoCellAnchor>
    <xdr:from>
      <xdr:col>7</xdr:col>
      <xdr:colOff>285750</xdr:colOff>
      <xdr:row>28</xdr:row>
      <xdr:rowOff>85725</xdr:rowOff>
    </xdr:from>
    <xdr:to>
      <xdr:col>9</xdr:col>
      <xdr:colOff>200026</xdr:colOff>
      <xdr:row>29</xdr:row>
      <xdr:rowOff>152400</xdr:rowOff>
    </xdr:to>
    <xdr:sp macro="" textlink="">
      <xdr:nvSpPr>
        <xdr:cNvPr id="26" name="TextBox 25">
          <a:extLst>
            <a:ext uri="{FF2B5EF4-FFF2-40B4-BE49-F238E27FC236}">
              <a16:creationId xmlns:a16="http://schemas.microsoft.com/office/drawing/2014/main" id="{128EFDDE-A182-4CB6-9E1E-8734DBC83240}"/>
            </a:ext>
          </a:extLst>
        </xdr:cNvPr>
        <xdr:cNvSpPr txBox="1"/>
      </xdr:nvSpPr>
      <xdr:spPr>
        <a:xfrm>
          <a:off x="4552950" y="54197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Designers</a:t>
          </a:r>
        </a:p>
      </xdr:txBody>
    </xdr:sp>
    <xdr:clientData/>
  </xdr:twoCellAnchor>
  <xdr:twoCellAnchor>
    <xdr:from>
      <xdr:col>9</xdr:col>
      <xdr:colOff>95250</xdr:colOff>
      <xdr:row>22</xdr:row>
      <xdr:rowOff>19050</xdr:rowOff>
    </xdr:from>
    <xdr:to>
      <xdr:col>11</xdr:col>
      <xdr:colOff>14287</xdr:colOff>
      <xdr:row>23</xdr:row>
      <xdr:rowOff>62550</xdr:rowOff>
    </xdr:to>
    <xdr:sp macro="" textlink="">
      <xdr:nvSpPr>
        <xdr:cNvPr id="43" name="Rectangle: Rounded Corners 42">
          <a:extLst>
            <a:ext uri="{FF2B5EF4-FFF2-40B4-BE49-F238E27FC236}">
              <a16:creationId xmlns:a16="http://schemas.microsoft.com/office/drawing/2014/main" id="{E9E8FF93-6120-4B5C-9C4F-37ED0F1D1A4E}"/>
            </a:ext>
          </a:extLst>
        </xdr:cNvPr>
        <xdr:cNvSpPr/>
      </xdr:nvSpPr>
      <xdr:spPr>
        <a:xfrm>
          <a:off x="5581650" y="4210050"/>
          <a:ext cx="1138237" cy="234000"/>
        </a:xfrm>
        <a:prstGeom prst="roundRect">
          <a:avLst>
            <a:gd name="adj" fmla="val 50000"/>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295275</xdr:colOff>
      <xdr:row>29</xdr:row>
      <xdr:rowOff>171450</xdr:rowOff>
    </xdr:from>
    <xdr:to>
      <xdr:col>9</xdr:col>
      <xdr:colOff>209551</xdr:colOff>
      <xdr:row>31</xdr:row>
      <xdr:rowOff>47625</xdr:rowOff>
    </xdr:to>
    <xdr:sp macro="" textlink="">
      <xdr:nvSpPr>
        <xdr:cNvPr id="27" name="TextBox 26">
          <a:extLst>
            <a:ext uri="{FF2B5EF4-FFF2-40B4-BE49-F238E27FC236}">
              <a16:creationId xmlns:a16="http://schemas.microsoft.com/office/drawing/2014/main" id="{02A2E338-5746-4478-AD14-7048EE637CC0}"/>
            </a:ext>
          </a:extLst>
        </xdr:cNvPr>
        <xdr:cNvSpPr txBox="1"/>
      </xdr:nvSpPr>
      <xdr:spPr>
        <a:xfrm>
          <a:off x="4562475" y="569595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Analysts</a:t>
          </a:r>
        </a:p>
      </xdr:txBody>
    </xdr:sp>
    <xdr:clientData/>
  </xdr:twoCellAnchor>
  <xdr:twoCellAnchor>
    <xdr:from>
      <xdr:col>9</xdr:col>
      <xdr:colOff>257175</xdr:colOff>
      <xdr:row>22</xdr:row>
      <xdr:rowOff>19050</xdr:rowOff>
    </xdr:from>
    <xdr:to>
      <xdr:col>11</xdr:col>
      <xdr:colOff>47626</xdr:colOff>
      <xdr:row>23</xdr:row>
      <xdr:rowOff>85725</xdr:rowOff>
    </xdr:to>
    <xdr:sp macro="" textlink="'Pivot Table'!F16">
      <xdr:nvSpPr>
        <xdr:cNvPr id="28" name="TextBox 27">
          <a:extLst>
            <a:ext uri="{FF2B5EF4-FFF2-40B4-BE49-F238E27FC236}">
              <a16:creationId xmlns:a16="http://schemas.microsoft.com/office/drawing/2014/main" id="{239BFC98-8053-4B92-88C8-C2B115188161}"/>
            </a:ext>
          </a:extLst>
        </xdr:cNvPr>
        <xdr:cNvSpPr txBox="1"/>
      </xdr:nvSpPr>
      <xdr:spPr>
        <a:xfrm>
          <a:off x="5743575" y="4210050"/>
          <a:ext cx="10096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B43E267-430C-4B96-9542-C41D54ADDA94}" type="TxLink">
            <a:rPr lang="en-US" sz="1300" b="1" i="0" u="none" strike="noStrike">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pPr algn="r"/>
            <a:t>3104913</a:t>
          </a:fld>
          <a:endParaRPr lang="en-US" sz="1300" b="1">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76200</xdr:colOff>
      <xdr:row>23</xdr:row>
      <xdr:rowOff>131445</xdr:rowOff>
    </xdr:from>
    <xdr:to>
      <xdr:col>10</xdr:col>
      <xdr:colOff>600076</xdr:colOff>
      <xdr:row>25</xdr:row>
      <xdr:rowOff>7620</xdr:rowOff>
    </xdr:to>
    <xdr:sp macro="" textlink="'Pivot Table'!F15">
      <xdr:nvSpPr>
        <xdr:cNvPr id="29" name="TextBox 28">
          <a:extLst>
            <a:ext uri="{FF2B5EF4-FFF2-40B4-BE49-F238E27FC236}">
              <a16:creationId xmlns:a16="http://schemas.microsoft.com/office/drawing/2014/main" id="{93B7CB46-09EB-473E-BE43-D265B0540F8B}"/>
            </a:ext>
          </a:extLst>
        </xdr:cNvPr>
        <xdr:cNvSpPr txBox="1"/>
      </xdr:nvSpPr>
      <xdr:spPr>
        <a:xfrm>
          <a:off x="5562600" y="4512945"/>
          <a:ext cx="1133476"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2F8C65-162C-4E93-AC4A-37D9CD5CF574}" type="TxLink">
            <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r"/>
            <a:t>731170</a:t>
          </a:fld>
          <a:endPar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76200</xdr:colOff>
      <xdr:row>25</xdr:row>
      <xdr:rowOff>53340</xdr:rowOff>
    </xdr:from>
    <xdr:to>
      <xdr:col>10</xdr:col>
      <xdr:colOff>600076</xdr:colOff>
      <xdr:row>26</xdr:row>
      <xdr:rowOff>120015</xdr:rowOff>
    </xdr:to>
    <xdr:sp macro="" textlink="'Pivot Table'!F14">
      <xdr:nvSpPr>
        <xdr:cNvPr id="30" name="TextBox 29">
          <a:extLst>
            <a:ext uri="{FF2B5EF4-FFF2-40B4-BE49-F238E27FC236}">
              <a16:creationId xmlns:a16="http://schemas.microsoft.com/office/drawing/2014/main" id="{4C01F0CC-16D4-4279-B2BA-E4CCBD8947DC}"/>
            </a:ext>
          </a:extLst>
        </xdr:cNvPr>
        <xdr:cNvSpPr txBox="1"/>
      </xdr:nvSpPr>
      <xdr:spPr>
        <a:xfrm>
          <a:off x="5562600" y="4815840"/>
          <a:ext cx="1133476"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9089624-0976-463D-B846-8D14A57A7DDE}" type="TxLink">
            <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r"/>
            <a:t>959266</a:t>
          </a:fld>
          <a:endPar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76200</xdr:colOff>
      <xdr:row>26</xdr:row>
      <xdr:rowOff>165735</xdr:rowOff>
    </xdr:from>
    <xdr:to>
      <xdr:col>10</xdr:col>
      <xdr:colOff>600076</xdr:colOff>
      <xdr:row>28</xdr:row>
      <xdr:rowOff>41910</xdr:rowOff>
    </xdr:to>
    <xdr:sp macro="" textlink="'Pivot Table'!F13">
      <xdr:nvSpPr>
        <xdr:cNvPr id="31" name="TextBox 30">
          <a:extLst>
            <a:ext uri="{FF2B5EF4-FFF2-40B4-BE49-F238E27FC236}">
              <a16:creationId xmlns:a16="http://schemas.microsoft.com/office/drawing/2014/main" id="{2838F4E6-04E0-4A78-B2E7-97A9E318DDD2}"/>
            </a:ext>
          </a:extLst>
        </xdr:cNvPr>
        <xdr:cNvSpPr txBox="1"/>
      </xdr:nvSpPr>
      <xdr:spPr>
        <a:xfrm>
          <a:off x="5562600" y="5118735"/>
          <a:ext cx="1133476"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23A3D73-E20D-4E65-A1E8-3A0C0852ED11}" type="TxLink">
            <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r"/>
            <a:t>633594</a:t>
          </a:fld>
          <a:endPar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76200</xdr:colOff>
      <xdr:row>28</xdr:row>
      <xdr:rowOff>87630</xdr:rowOff>
    </xdr:from>
    <xdr:to>
      <xdr:col>10</xdr:col>
      <xdr:colOff>600076</xdr:colOff>
      <xdr:row>29</xdr:row>
      <xdr:rowOff>154305</xdr:rowOff>
    </xdr:to>
    <xdr:sp macro="" textlink="'Pivot Table'!F12">
      <xdr:nvSpPr>
        <xdr:cNvPr id="32" name="TextBox 31">
          <a:extLst>
            <a:ext uri="{FF2B5EF4-FFF2-40B4-BE49-F238E27FC236}">
              <a16:creationId xmlns:a16="http://schemas.microsoft.com/office/drawing/2014/main" id="{9634F016-38CD-420F-BF4D-62CBF849A50B}"/>
            </a:ext>
          </a:extLst>
        </xdr:cNvPr>
        <xdr:cNvSpPr txBox="1"/>
      </xdr:nvSpPr>
      <xdr:spPr>
        <a:xfrm>
          <a:off x="5562600" y="5421630"/>
          <a:ext cx="1133476"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417FD7C-B802-4982-A9ED-25C2CE536719}" type="TxLink">
            <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r"/>
            <a:t>613842</a:t>
          </a:fld>
          <a:endPar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76200</xdr:colOff>
      <xdr:row>30</xdr:row>
      <xdr:rowOff>9525</xdr:rowOff>
    </xdr:from>
    <xdr:to>
      <xdr:col>10</xdr:col>
      <xdr:colOff>600076</xdr:colOff>
      <xdr:row>31</xdr:row>
      <xdr:rowOff>76200</xdr:rowOff>
    </xdr:to>
    <xdr:sp macro="" textlink="'Pivot Table'!F11">
      <xdr:nvSpPr>
        <xdr:cNvPr id="33" name="TextBox 32">
          <a:extLst>
            <a:ext uri="{FF2B5EF4-FFF2-40B4-BE49-F238E27FC236}">
              <a16:creationId xmlns:a16="http://schemas.microsoft.com/office/drawing/2014/main" id="{F5072821-C999-495D-B1A6-562D3DCC05AA}"/>
            </a:ext>
          </a:extLst>
        </xdr:cNvPr>
        <xdr:cNvSpPr txBox="1"/>
      </xdr:nvSpPr>
      <xdr:spPr>
        <a:xfrm>
          <a:off x="5562600" y="5724525"/>
          <a:ext cx="1133476" cy="257175"/>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DE2E04C-CCB1-45E4-85E0-3F350D39765B}" type="TxLink">
            <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r"/>
            <a:t>167041</a:t>
          </a:fld>
          <a:endParaRPr lang="en-US" sz="1100" b="1" i="0" u="none" strike="noStrike">
            <a:solidFill>
              <a:schemeClr val="bg1">
                <a:lumMod val="8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180975</xdr:colOff>
      <xdr:row>19</xdr:row>
      <xdr:rowOff>38100</xdr:rowOff>
    </xdr:from>
    <xdr:to>
      <xdr:col>13</xdr:col>
      <xdr:colOff>266701</xdr:colOff>
      <xdr:row>26</xdr:row>
      <xdr:rowOff>76200</xdr:rowOff>
    </xdr:to>
    <xdr:graphicFrame macro="">
      <xdr:nvGraphicFramePr>
        <xdr:cNvPr id="49" name="Chart 48">
          <a:extLst>
            <a:ext uri="{FF2B5EF4-FFF2-40B4-BE49-F238E27FC236}">
              <a16:creationId xmlns:a16="http://schemas.microsoft.com/office/drawing/2014/main" id="{7C82960F-02B3-4E88-A820-C60E3BB45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514349</xdr:colOff>
      <xdr:row>20</xdr:row>
      <xdr:rowOff>57150</xdr:rowOff>
    </xdr:from>
    <xdr:to>
      <xdr:col>15</xdr:col>
      <xdr:colOff>47624</xdr:colOff>
      <xdr:row>21</xdr:row>
      <xdr:rowOff>0</xdr:rowOff>
    </xdr:to>
    <xdr:sp macro="" textlink="">
      <xdr:nvSpPr>
        <xdr:cNvPr id="50" name="Oval 49">
          <a:extLst>
            <a:ext uri="{FF2B5EF4-FFF2-40B4-BE49-F238E27FC236}">
              <a16:creationId xmlns:a16="http://schemas.microsoft.com/office/drawing/2014/main" id="{AEEB896A-B37C-F229-789B-AF0A04C6FD03}"/>
            </a:ext>
          </a:extLst>
        </xdr:cNvPr>
        <xdr:cNvSpPr/>
      </xdr:nvSpPr>
      <xdr:spPr>
        <a:xfrm>
          <a:off x="9048749" y="3867150"/>
          <a:ext cx="142875" cy="1333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500062</xdr:colOff>
      <xdr:row>26</xdr:row>
      <xdr:rowOff>95250</xdr:rowOff>
    </xdr:from>
    <xdr:to>
      <xdr:col>15</xdr:col>
      <xdr:colOff>33337</xdr:colOff>
      <xdr:row>27</xdr:row>
      <xdr:rowOff>38100</xdr:rowOff>
    </xdr:to>
    <xdr:sp macro="" textlink="">
      <xdr:nvSpPr>
        <xdr:cNvPr id="51" name="Oval 50">
          <a:extLst>
            <a:ext uri="{FF2B5EF4-FFF2-40B4-BE49-F238E27FC236}">
              <a16:creationId xmlns:a16="http://schemas.microsoft.com/office/drawing/2014/main" id="{FA78BF06-A863-4C52-85E6-EFA5EDF379BE}"/>
            </a:ext>
          </a:extLst>
        </xdr:cNvPr>
        <xdr:cNvSpPr/>
      </xdr:nvSpPr>
      <xdr:spPr>
        <a:xfrm>
          <a:off x="9034462" y="5048250"/>
          <a:ext cx="142875" cy="133350"/>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571500</xdr:colOff>
      <xdr:row>26</xdr:row>
      <xdr:rowOff>114300</xdr:rowOff>
    </xdr:from>
    <xdr:to>
      <xdr:col>13</xdr:col>
      <xdr:colOff>104775</xdr:colOff>
      <xdr:row>27</xdr:row>
      <xdr:rowOff>57150</xdr:rowOff>
    </xdr:to>
    <xdr:sp macro="" textlink="">
      <xdr:nvSpPr>
        <xdr:cNvPr id="52" name="Oval 51">
          <a:extLst>
            <a:ext uri="{FF2B5EF4-FFF2-40B4-BE49-F238E27FC236}">
              <a16:creationId xmlns:a16="http://schemas.microsoft.com/office/drawing/2014/main" id="{DD328F3E-9C1B-4944-AA39-EF39C146BEED}"/>
            </a:ext>
          </a:extLst>
        </xdr:cNvPr>
        <xdr:cNvSpPr/>
      </xdr:nvSpPr>
      <xdr:spPr>
        <a:xfrm>
          <a:off x="7886700" y="5067300"/>
          <a:ext cx="142875" cy="13335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200025</xdr:colOff>
      <xdr:row>18</xdr:row>
      <xdr:rowOff>104775</xdr:rowOff>
    </xdr:from>
    <xdr:to>
      <xdr:col>15</xdr:col>
      <xdr:colOff>304800</xdr:colOff>
      <xdr:row>19</xdr:row>
      <xdr:rowOff>171450</xdr:rowOff>
    </xdr:to>
    <xdr:sp macro="" textlink="">
      <xdr:nvSpPr>
        <xdr:cNvPr id="53" name="TextBox 52">
          <a:extLst>
            <a:ext uri="{FF2B5EF4-FFF2-40B4-BE49-F238E27FC236}">
              <a16:creationId xmlns:a16="http://schemas.microsoft.com/office/drawing/2014/main" id="{4E5E16FE-AE40-49B0-9D38-7EA7CD52D4DC}"/>
            </a:ext>
          </a:extLst>
        </xdr:cNvPr>
        <xdr:cNvSpPr txBox="1"/>
      </xdr:nvSpPr>
      <xdr:spPr>
        <a:xfrm>
          <a:off x="6905625" y="3533775"/>
          <a:ext cx="2543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FFC000"/>
              </a:solidFill>
              <a:latin typeface="Segoe UI Semibold" panose="020B0702040204020203" pitchFamily="34" charset="0"/>
              <a:cs typeface="Segoe UI Semibold" panose="020B0702040204020203" pitchFamily="34" charset="0"/>
            </a:rPr>
            <a:t>Employment</a:t>
          </a:r>
          <a:r>
            <a:rPr lang="en-US" sz="1300" baseline="0">
              <a:solidFill>
                <a:srgbClr val="FFC000"/>
              </a:solidFill>
              <a:latin typeface="Segoe UI Semibold" panose="020B0702040204020203" pitchFamily="34" charset="0"/>
              <a:cs typeface="Segoe UI Semibold" panose="020B0702040204020203" pitchFamily="34" charset="0"/>
            </a:rPr>
            <a:t> Status BreakDown</a:t>
          </a:r>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361949</xdr:colOff>
      <xdr:row>19</xdr:row>
      <xdr:rowOff>95250</xdr:rowOff>
    </xdr:from>
    <xdr:to>
      <xdr:col>10</xdr:col>
      <xdr:colOff>28574</xdr:colOff>
      <xdr:row>20</xdr:row>
      <xdr:rowOff>161925</xdr:rowOff>
    </xdr:to>
    <xdr:sp macro="" textlink="">
      <xdr:nvSpPr>
        <xdr:cNvPr id="55" name="TextBox 54">
          <a:extLst>
            <a:ext uri="{FF2B5EF4-FFF2-40B4-BE49-F238E27FC236}">
              <a16:creationId xmlns:a16="http://schemas.microsoft.com/office/drawing/2014/main" id="{FE2F6F5F-FFA9-4363-A868-C2F5C9A5AC0B}"/>
            </a:ext>
          </a:extLst>
        </xdr:cNvPr>
        <xdr:cNvSpPr txBox="1"/>
      </xdr:nvSpPr>
      <xdr:spPr>
        <a:xfrm>
          <a:off x="4629149" y="3714750"/>
          <a:ext cx="14954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FFC000"/>
              </a:solidFill>
              <a:latin typeface="Segoe UI Semibold" panose="020B0702040204020203" pitchFamily="34" charset="0"/>
              <a:cs typeface="Segoe UI Semibold" panose="020B0702040204020203" pitchFamily="34" charset="0"/>
            </a:rPr>
            <a:t>Salaries</a:t>
          </a:r>
        </a:p>
      </xdr:txBody>
    </xdr:sp>
    <xdr:clientData/>
  </xdr:twoCellAnchor>
  <xdr:twoCellAnchor>
    <xdr:from>
      <xdr:col>7</xdr:col>
      <xdr:colOff>276224</xdr:colOff>
      <xdr:row>20</xdr:row>
      <xdr:rowOff>123825</xdr:rowOff>
    </xdr:from>
    <xdr:to>
      <xdr:col>11</xdr:col>
      <xdr:colOff>19049</xdr:colOff>
      <xdr:row>22</xdr:row>
      <xdr:rowOff>0</xdr:rowOff>
    </xdr:to>
    <xdr:sp macro="" textlink="">
      <xdr:nvSpPr>
        <xdr:cNvPr id="56" name="TextBox 55">
          <a:extLst>
            <a:ext uri="{FF2B5EF4-FFF2-40B4-BE49-F238E27FC236}">
              <a16:creationId xmlns:a16="http://schemas.microsoft.com/office/drawing/2014/main" id="{F679DFF4-0E55-40B8-8136-09F7535D6310}"/>
            </a:ext>
          </a:extLst>
        </xdr:cNvPr>
        <xdr:cNvSpPr txBox="1"/>
      </xdr:nvSpPr>
      <xdr:spPr>
        <a:xfrm>
          <a:off x="4543424" y="3933825"/>
          <a:ext cx="2181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65000"/>
                </a:schemeClr>
              </a:solidFill>
              <a:latin typeface="Segoe UI Semibold" panose="020B0702040204020203" pitchFamily="34" charset="0"/>
              <a:cs typeface="Segoe UI Semibold" panose="020B0702040204020203" pitchFamily="34" charset="0"/>
            </a:rPr>
            <a:t>Salary</a:t>
          </a:r>
          <a:r>
            <a:rPr lang="en-US" sz="1000" baseline="0">
              <a:solidFill>
                <a:schemeClr val="bg1">
                  <a:lumMod val="65000"/>
                </a:schemeClr>
              </a:solidFill>
              <a:latin typeface="Segoe UI Semibold" panose="020B0702040204020203" pitchFamily="34" charset="0"/>
              <a:cs typeface="Segoe UI Semibold" panose="020B0702040204020203" pitchFamily="34" charset="0"/>
            </a:rPr>
            <a:t> amount by Job Title</a:t>
          </a:r>
          <a:endParaRPr lang="en-US" sz="100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323850</xdr:colOff>
      <xdr:row>21</xdr:row>
      <xdr:rowOff>152400</xdr:rowOff>
    </xdr:from>
    <xdr:to>
      <xdr:col>7</xdr:col>
      <xdr:colOff>95250</xdr:colOff>
      <xdr:row>32</xdr:row>
      <xdr:rowOff>57150</xdr:rowOff>
    </xdr:to>
    <xdr:graphicFrame macro="">
      <xdr:nvGraphicFramePr>
        <xdr:cNvPr id="58" name="Chart 57">
          <a:extLst>
            <a:ext uri="{FF2B5EF4-FFF2-40B4-BE49-F238E27FC236}">
              <a16:creationId xmlns:a16="http://schemas.microsoft.com/office/drawing/2014/main" id="{21E19382-18FC-4B95-AE47-1504DEB63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385762</xdr:colOff>
      <xdr:row>19</xdr:row>
      <xdr:rowOff>161925</xdr:rowOff>
    </xdr:from>
    <xdr:to>
      <xdr:col>6</xdr:col>
      <xdr:colOff>52387</xdr:colOff>
      <xdr:row>21</xdr:row>
      <xdr:rowOff>66675</xdr:rowOff>
    </xdr:to>
    <xdr:sp macro="" textlink="">
      <xdr:nvSpPr>
        <xdr:cNvPr id="59" name="TextBox 58">
          <a:extLst>
            <a:ext uri="{FF2B5EF4-FFF2-40B4-BE49-F238E27FC236}">
              <a16:creationId xmlns:a16="http://schemas.microsoft.com/office/drawing/2014/main" id="{5E1A01A8-A95B-4D0B-BE06-A418B47873F3}"/>
            </a:ext>
          </a:extLst>
        </xdr:cNvPr>
        <xdr:cNvSpPr txBox="1"/>
      </xdr:nvSpPr>
      <xdr:spPr>
        <a:xfrm>
          <a:off x="2214562" y="3781425"/>
          <a:ext cx="1495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rgbClr val="FFC000"/>
              </a:solidFill>
              <a:latin typeface="Segoe UI Semibold" panose="020B0702040204020203" pitchFamily="34" charset="0"/>
              <a:cs typeface="Segoe UI Semibold" panose="020B0702040204020203" pitchFamily="34" charset="0"/>
            </a:rPr>
            <a:t>Age</a:t>
          </a:r>
          <a:r>
            <a:rPr lang="en-US" sz="1300" baseline="0">
              <a:solidFill>
                <a:srgbClr val="FFC000"/>
              </a:solidFill>
              <a:latin typeface="Segoe UI Semibold" panose="020B0702040204020203" pitchFamily="34" charset="0"/>
              <a:cs typeface="Segoe UI Semibold" panose="020B0702040204020203" pitchFamily="34" charset="0"/>
            </a:rPr>
            <a:t> Range</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314326</xdr:colOff>
      <xdr:row>20</xdr:row>
      <xdr:rowOff>190499</xdr:rowOff>
    </xdr:from>
    <xdr:to>
      <xdr:col>7</xdr:col>
      <xdr:colOff>238126</xdr:colOff>
      <xdr:row>23</xdr:row>
      <xdr:rowOff>66675</xdr:rowOff>
    </xdr:to>
    <xdr:sp macro="" textlink="">
      <xdr:nvSpPr>
        <xdr:cNvPr id="62" name="TextBox 61">
          <a:extLst>
            <a:ext uri="{FF2B5EF4-FFF2-40B4-BE49-F238E27FC236}">
              <a16:creationId xmlns:a16="http://schemas.microsoft.com/office/drawing/2014/main" id="{7EA54F1C-18F5-43CB-BFD4-F436A5539F41}"/>
            </a:ext>
          </a:extLst>
        </xdr:cNvPr>
        <xdr:cNvSpPr txBox="1"/>
      </xdr:nvSpPr>
      <xdr:spPr>
        <a:xfrm>
          <a:off x="2143126" y="4000499"/>
          <a:ext cx="2362200"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65000"/>
                </a:schemeClr>
              </a:solidFill>
              <a:latin typeface="Segoe UI Semibold" panose="020B0702040204020203" pitchFamily="34" charset="0"/>
              <a:cs typeface="Segoe UI Semibold" panose="020B0702040204020203" pitchFamily="34" charset="0"/>
            </a:rPr>
            <a:t>No</a:t>
          </a:r>
          <a:r>
            <a:rPr lang="en-US" sz="1000" baseline="0">
              <a:solidFill>
                <a:schemeClr val="bg1">
                  <a:lumMod val="65000"/>
                </a:schemeClr>
              </a:solidFill>
              <a:latin typeface="Segoe UI Semibold" panose="020B0702040204020203" pitchFamily="34" charset="0"/>
              <a:cs typeface="Segoe UI Semibold" panose="020B0702040204020203" pitchFamily="34" charset="0"/>
            </a:rPr>
            <a:t> of employees according to age range and gender</a:t>
          </a:r>
          <a:endParaRPr lang="en-US" sz="100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45245</xdr:colOff>
      <xdr:row>23</xdr:row>
      <xdr:rowOff>133350</xdr:rowOff>
    </xdr:from>
    <xdr:to>
      <xdr:col>3</xdr:col>
      <xdr:colOff>16669</xdr:colOff>
      <xdr:row>27</xdr:row>
      <xdr:rowOff>180976</xdr:rowOff>
    </xdr:to>
    <xdr:graphicFrame macro="">
      <xdr:nvGraphicFramePr>
        <xdr:cNvPr id="6" name="Chart 5">
          <a:extLst>
            <a:ext uri="{FF2B5EF4-FFF2-40B4-BE49-F238E27FC236}">
              <a16:creationId xmlns:a16="http://schemas.microsoft.com/office/drawing/2014/main" id="{B9BC042F-4109-4F1B-AD22-358EDE5A8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23</xdr:row>
      <xdr:rowOff>153675</xdr:rowOff>
    </xdr:from>
    <xdr:to>
      <xdr:col>2</xdr:col>
      <xdr:colOff>28576</xdr:colOff>
      <xdr:row>25</xdr:row>
      <xdr:rowOff>29850</xdr:rowOff>
    </xdr:to>
    <xdr:sp macro="" textlink="">
      <xdr:nvSpPr>
        <xdr:cNvPr id="34" name="TextBox 33">
          <a:extLst>
            <a:ext uri="{FF2B5EF4-FFF2-40B4-BE49-F238E27FC236}">
              <a16:creationId xmlns:a16="http://schemas.microsoft.com/office/drawing/2014/main" id="{2233A8E9-1386-436F-BAEE-262FBA05814F}"/>
            </a:ext>
          </a:extLst>
        </xdr:cNvPr>
        <xdr:cNvSpPr txBox="1"/>
      </xdr:nvSpPr>
      <xdr:spPr>
        <a:xfrm>
          <a:off x="114300" y="453517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Branch</a:t>
          </a:r>
          <a:r>
            <a:rPr lang="en-US" sz="1100" baseline="0">
              <a:solidFill>
                <a:schemeClr val="bg1"/>
              </a:solidFill>
              <a:latin typeface="Segoe UI Semibold" panose="020B0702040204020203" pitchFamily="34" charset="0"/>
              <a:cs typeface="Segoe UI Semibold" panose="020B0702040204020203" pitchFamily="34" charset="0"/>
            </a:rPr>
            <a:t> Office</a:t>
          </a:r>
          <a:endParaRPr lang="en-US"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95250</xdr:colOff>
      <xdr:row>26</xdr:row>
      <xdr:rowOff>77475</xdr:rowOff>
    </xdr:from>
    <xdr:to>
      <xdr:col>2</xdr:col>
      <xdr:colOff>9526</xdr:colOff>
      <xdr:row>27</xdr:row>
      <xdr:rowOff>144150</xdr:rowOff>
    </xdr:to>
    <xdr:sp macro="" textlink="">
      <xdr:nvSpPr>
        <xdr:cNvPr id="35" name="TextBox 34">
          <a:extLst>
            <a:ext uri="{FF2B5EF4-FFF2-40B4-BE49-F238E27FC236}">
              <a16:creationId xmlns:a16="http://schemas.microsoft.com/office/drawing/2014/main" id="{B71B0A90-FC15-4075-865D-E94B7706E3F6}"/>
            </a:ext>
          </a:extLst>
        </xdr:cNvPr>
        <xdr:cNvSpPr txBox="1"/>
      </xdr:nvSpPr>
      <xdr:spPr>
        <a:xfrm>
          <a:off x="95250" y="503047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latin typeface="Segoe UI Semibold" panose="020B0702040204020203" pitchFamily="34" charset="0"/>
              <a:ea typeface="+mn-ea"/>
              <a:cs typeface="Segoe UI Semibold" panose="020B0702040204020203" pitchFamily="34" charset="0"/>
            </a:rPr>
            <a:t>Head</a:t>
          </a:r>
          <a:r>
            <a:rPr lang="en-US" sz="1100" b="0" i="0" u="none" strike="noStrike">
              <a:solidFill>
                <a:schemeClr val="dk1"/>
              </a:solidFill>
              <a:effectLst/>
              <a:latin typeface="+mn-lt"/>
              <a:ea typeface="+mn-ea"/>
              <a:cs typeface="+mn-cs"/>
            </a:rPr>
            <a:t> </a:t>
          </a:r>
          <a:r>
            <a:rPr lang="en-US" sz="1100" baseline="0">
              <a:solidFill>
                <a:schemeClr val="bg1"/>
              </a:solidFill>
              <a:latin typeface="Segoe UI Semibold" panose="020B0702040204020203" pitchFamily="34" charset="0"/>
              <a:ea typeface="+mn-ea"/>
              <a:cs typeface="Segoe UI Semibold" panose="020B0702040204020203" pitchFamily="34" charset="0"/>
            </a:rPr>
            <a:t>Office</a:t>
          </a:r>
          <a:r>
            <a:rPr lang="en-US">
              <a:effectLst/>
            </a:rPr>
            <a:t> </a:t>
          </a:r>
          <a:endParaRPr lang="en-US"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104775</xdr:colOff>
      <xdr:row>29</xdr:row>
      <xdr:rowOff>1275</xdr:rowOff>
    </xdr:from>
    <xdr:to>
      <xdr:col>2</xdr:col>
      <xdr:colOff>19051</xdr:colOff>
      <xdr:row>30</xdr:row>
      <xdr:rowOff>67950</xdr:rowOff>
    </xdr:to>
    <xdr:sp macro="" textlink="">
      <xdr:nvSpPr>
        <xdr:cNvPr id="37" name="TextBox 36">
          <a:extLst>
            <a:ext uri="{FF2B5EF4-FFF2-40B4-BE49-F238E27FC236}">
              <a16:creationId xmlns:a16="http://schemas.microsoft.com/office/drawing/2014/main" id="{E1F54A39-27C6-4839-A25C-868CBC4FA6E3}"/>
            </a:ext>
          </a:extLst>
        </xdr:cNvPr>
        <xdr:cNvSpPr txBox="1"/>
      </xdr:nvSpPr>
      <xdr:spPr>
        <a:xfrm>
          <a:off x="104775" y="552577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Remote</a:t>
          </a:r>
        </a:p>
      </xdr:txBody>
    </xdr:sp>
    <xdr:clientData/>
  </xdr:twoCellAnchor>
  <xdr:twoCellAnchor>
    <xdr:from>
      <xdr:col>0</xdr:col>
      <xdr:colOff>50008</xdr:colOff>
      <xdr:row>28</xdr:row>
      <xdr:rowOff>171450</xdr:rowOff>
    </xdr:from>
    <xdr:to>
      <xdr:col>3</xdr:col>
      <xdr:colOff>11907</xdr:colOff>
      <xdr:row>33</xdr:row>
      <xdr:rowOff>28575</xdr:rowOff>
    </xdr:to>
    <xdr:graphicFrame macro="">
      <xdr:nvGraphicFramePr>
        <xdr:cNvPr id="38" name="Chart 37">
          <a:extLst>
            <a:ext uri="{FF2B5EF4-FFF2-40B4-BE49-F238E27FC236}">
              <a16:creationId xmlns:a16="http://schemas.microsoft.com/office/drawing/2014/main" id="{83C79E43-AA7B-4522-9227-1837DA0C6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59533</xdr:colOff>
      <xdr:row>26</xdr:row>
      <xdr:rowOff>52388</xdr:rowOff>
    </xdr:from>
    <xdr:to>
      <xdr:col>3</xdr:col>
      <xdr:colOff>2382</xdr:colOff>
      <xdr:row>30</xdr:row>
      <xdr:rowOff>109538</xdr:rowOff>
    </xdr:to>
    <xdr:graphicFrame macro="">
      <xdr:nvGraphicFramePr>
        <xdr:cNvPr id="39" name="Chart 38">
          <a:extLst>
            <a:ext uri="{FF2B5EF4-FFF2-40B4-BE49-F238E27FC236}">
              <a16:creationId xmlns:a16="http://schemas.microsoft.com/office/drawing/2014/main" id="{2B83B35A-4C3E-4C4F-A9D8-81CB9C407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485776</xdr:colOff>
      <xdr:row>14</xdr:row>
      <xdr:rowOff>76200</xdr:rowOff>
    </xdr:from>
    <xdr:to>
      <xdr:col>18</xdr:col>
      <xdr:colOff>104776</xdr:colOff>
      <xdr:row>15</xdr:row>
      <xdr:rowOff>142875</xdr:rowOff>
    </xdr:to>
    <xdr:sp macro="" textlink="">
      <xdr:nvSpPr>
        <xdr:cNvPr id="40" name="TextBox 39">
          <a:extLst>
            <a:ext uri="{FF2B5EF4-FFF2-40B4-BE49-F238E27FC236}">
              <a16:creationId xmlns:a16="http://schemas.microsoft.com/office/drawing/2014/main" id="{6497D1E1-E3B6-4876-8ED7-ACD96E4FABA6}"/>
            </a:ext>
          </a:extLst>
        </xdr:cNvPr>
        <xdr:cNvSpPr txBox="1"/>
      </xdr:nvSpPr>
      <xdr:spPr>
        <a:xfrm>
          <a:off x="10848976" y="2743200"/>
          <a:ext cx="228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442913</xdr:colOff>
      <xdr:row>25</xdr:row>
      <xdr:rowOff>0</xdr:rowOff>
    </xdr:from>
    <xdr:to>
      <xdr:col>3</xdr:col>
      <xdr:colOff>319088</xdr:colOff>
      <xdr:row>26</xdr:row>
      <xdr:rowOff>66675</xdr:rowOff>
    </xdr:to>
    <xdr:sp macro="" textlink="'Pivot Table'!Q11">
      <xdr:nvSpPr>
        <xdr:cNvPr id="36" name="TextBox 35">
          <a:extLst>
            <a:ext uri="{FF2B5EF4-FFF2-40B4-BE49-F238E27FC236}">
              <a16:creationId xmlns:a16="http://schemas.microsoft.com/office/drawing/2014/main" id="{9FCB8287-6BB7-4FE0-A590-56A53B58E6CD}"/>
            </a:ext>
          </a:extLst>
        </xdr:cNvPr>
        <xdr:cNvSpPr txBox="1"/>
      </xdr:nvSpPr>
      <xdr:spPr>
        <a:xfrm>
          <a:off x="1662113" y="4762500"/>
          <a:ext cx="4857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4EEB07-C83A-48E2-B652-E1C106802BD4}" type="TxLink">
            <a:rPr lang="en-US" sz="1100" b="1" i="0" u="none" strike="noStrike">
              <a:solidFill>
                <a:schemeClr val="bg2"/>
              </a:solidFill>
              <a:latin typeface="Segoe UI Semibold" panose="020B0702040204020203" pitchFamily="34" charset="0"/>
              <a:cs typeface="Segoe UI Semibold" panose="020B0702040204020203" pitchFamily="34" charset="0"/>
            </a:rPr>
            <a:t>46%</a:t>
          </a:fld>
          <a:endParaRPr lang="en-US" sz="11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457200</xdr:colOff>
      <xdr:row>27</xdr:row>
      <xdr:rowOff>123824</xdr:rowOff>
    </xdr:from>
    <xdr:to>
      <xdr:col>3</xdr:col>
      <xdr:colOff>304800</xdr:colOff>
      <xdr:row>28</xdr:row>
      <xdr:rowOff>190499</xdr:rowOff>
    </xdr:to>
    <xdr:sp macro="" textlink="'Pivot Table'!Q12">
      <xdr:nvSpPr>
        <xdr:cNvPr id="41" name="TextBox 40">
          <a:extLst>
            <a:ext uri="{FF2B5EF4-FFF2-40B4-BE49-F238E27FC236}">
              <a16:creationId xmlns:a16="http://schemas.microsoft.com/office/drawing/2014/main" id="{95D4548F-E161-4DB0-9379-7413A508BFCE}"/>
            </a:ext>
          </a:extLst>
        </xdr:cNvPr>
        <xdr:cNvSpPr txBox="1"/>
      </xdr:nvSpPr>
      <xdr:spPr>
        <a:xfrm>
          <a:off x="1676400" y="5267324"/>
          <a:ext cx="457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185C22-CB63-4C8C-A092-C48A09B9E202}" type="TxLink">
            <a:rPr lang="en-US" sz="1100" b="1" i="0" u="none" strike="noStrike">
              <a:solidFill>
                <a:schemeClr val="bg2"/>
              </a:solidFill>
              <a:latin typeface="Segoe UI Semibold" panose="020B0702040204020203" pitchFamily="34" charset="0"/>
              <a:cs typeface="Segoe UI Semibold" panose="020B0702040204020203" pitchFamily="34" charset="0"/>
            </a:rPr>
            <a:t>16%</a:t>
          </a:fld>
          <a:endParaRPr lang="en-US" sz="11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428625</xdr:colOff>
      <xdr:row>30</xdr:row>
      <xdr:rowOff>57149</xdr:rowOff>
    </xdr:from>
    <xdr:to>
      <xdr:col>3</xdr:col>
      <xdr:colOff>333375</xdr:colOff>
      <xdr:row>31</xdr:row>
      <xdr:rowOff>123824</xdr:rowOff>
    </xdr:to>
    <xdr:sp macro="" textlink="'Pivot Table'!Q13">
      <xdr:nvSpPr>
        <xdr:cNvPr id="42" name="TextBox 41">
          <a:extLst>
            <a:ext uri="{FF2B5EF4-FFF2-40B4-BE49-F238E27FC236}">
              <a16:creationId xmlns:a16="http://schemas.microsoft.com/office/drawing/2014/main" id="{3026031A-B8F1-43B7-9D54-BDF53CBFB1EC}"/>
            </a:ext>
          </a:extLst>
        </xdr:cNvPr>
        <xdr:cNvSpPr txBox="1"/>
      </xdr:nvSpPr>
      <xdr:spPr>
        <a:xfrm>
          <a:off x="1647825" y="5772149"/>
          <a:ext cx="514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BD0420-690C-4EA1-B206-D0D591A9101C}" type="TxLink">
            <a:rPr lang="en-US" sz="1100" b="1" i="0" u="none" strike="noStrike">
              <a:solidFill>
                <a:schemeClr val="bg2"/>
              </a:solidFill>
              <a:latin typeface="Segoe UI Semibold" panose="020B0702040204020203" pitchFamily="34" charset="0"/>
              <a:cs typeface="Segoe UI Semibold" panose="020B0702040204020203" pitchFamily="34" charset="0"/>
            </a:rPr>
            <a:t>38%</a:t>
          </a:fld>
          <a:endParaRPr lang="en-US" sz="1100">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95249</xdr:colOff>
      <xdr:row>13</xdr:row>
      <xdr:rowOff>142875</xdr:rowOff>
    </xdr:from>
    <xdr:to>
      <xdr:col>2</xdr:col>
      <xdr:colOff>85724</xdr:colOff>
      <xdr:row>15</xdr:row>
      <xdr:rowOff>19050</xdr:rowOff>
    </xdr:to>
    <xdr:sp macro="" textlink="">
      <xdr:nvSpPr>
        <xdr:cNvPr id="44" name="TextBox 43">
          <a:extLst>
            <a:ext uri="{FF2B5EF4-FFF2-40B4-BE49-F238E27FC236}">
              <a16:creationId xmlns:a16="http://schemas.microsoft.com/office/drawing/2014/main" id="{E9F59F7C-E69B-480B-8AEE-F6B2D8378BA8}"/>
            </a:ext>
          </a:extLst>
        </xdr:cNvPr>
        <xdr:cNvSpPr txBox="1"/>
      </xdr:nvSpPr>
      <xdr:spPr>
        <a:xfrm>
          <a:off x="95249" y="2619375"/>
          <a:ext cx="12096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Communication</a:t>
          </a:r>
        </a:p>
      </xdr:txBody>
    </xdr:sp>
    <xdr:clientData/>
  </xdr:twoCellAnchor>
  <xdr:twoCellAnchor>
    <xdr:from>
      <xdr:col>0</xdr:col>
      <xdr:colOff>104775</xdr:colOff>
      <xdr:row>15</xdr:row>
      <xdr:rowOff>85725</xdr:rowOff>
    </xdr:from>
    <xdr:to>
      <xdr:col>2</xdr:col>
      <xdr:colOff>19051</xdr:colOff>
      <xdr:row>16</xdr:row>
      <xdr:rowOff>152400</xdr:rowOff>
    </xdr:to>
    <xdr:sp macro="" textlink="">
      <xdr:nvSpPr>
        <xdr:cNvPr id="45" name="TextBox 44">
          <a:extLst>
            <a:ext uri="{FF2B5EF4-FFF2-40B4-BE49-F238E27FC236}">
              <a16:creationId xmlns:a16="http://schemas.microsoft.com/office/drawing/2014/main" id="{3BC1010E-CBB8-42BE-ACF1-CD37A52747E9}"/>
            </a:ext>
          </a:extLst>
        </xdr:cNvPr>
        <xdr:cNvSpPr txBox="1"/>
      </xdr:nvSpPr>
      <xdr:spPr>
        <a:xfrm>
          <a:off x="104775" y="29432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Design</a:t>
          </a:r>
        </a:p>
      </xdr:txBody>
    </xdr:sp>
    <xdr:clientData/>
  </xdr:twoCellAnchor>
  <xdr:twoCellAnchor>
    <xdr:from>
      <xdr:col>0</xdr:col>
      <xdr:colOff>114300</xdr:colOff>
      <xdr:row>17</xdr:row>
      <xdr:rowOff>19050</xdr:rowOff>
    </xdr:from>
    <xdr:to>
      <xdr:col>2</xdr:col>
      <xdr:colOff>28576</xdr:colOff>
      <xdr:row>18</xdr:row>
      <xdr:rowOff>85725</xdr:rowOff>
    </xdr:to>
    <xdr:sp macro="" textlink="">
      <xdr:nvSpPr>
        <xdr:cNvPr id="46" name="TextBox 45">
          <a:extLst>
            <a:ext uri="{FF2B5EF4-FFF2-40B4-BE49-F238E27FC236}">
              <a16:creationId xmlns:a16="http://schemas.microsoft.com/office/drawing/2014/main" id="{0B4DE70B-76EE-4C95-B2A3-D3FC86A5EDC8}"/>
            </a:ext>
          </a:extLst>
        </xdr:cNvPr>
        <xdr:cNvSpPr txBox="1"/>
      </xdr:nvSpPr>
      <xdr:spPr>
        <a:xfrm>
          <a:off x="114300" y="325755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Excel</a:t>
          </a:r>
        </a:p>
      </xdr:txBody>
    </xdr:sp>
    <xdr:clientData/>
  </xdr:twoCellAnchor>
  <xdr:twoCellAnchor>
    <xdr:from>
      <xdr:col>0</xdr:col>
      <xdr:colOff>123825</xdr:colOff>
      <xdr:row>18</xdr:row>
      <xdr:rowOff>123825</xdr:rowOff>
    </xdr:from>
    <xdr:to>
      <xdr:col>2</xdr:col>
      <xdr:colOff>38101</xdr:colOff>
      <xdr:row>20</xdr:row>
      <xdr:rowOff>0</xdr:rowOff>
    </xdr:to>
    <xdr:sp macro="" textlink="">
      <xdr:nvSpPr>
        <xdr:cNvPr id="47" name="TextBox 46">
          <a:extLst>
            <a:ext uri="{FF2B5EF4-FFF2-40B4-BE49-F238E27FC236}">
              <a16:creationId xmlns:a16="http://schemas.microsoft.com/office/drawing/2014/main" id="{56A4ECA6-DF1C-459A-B568-50F1F94088BA}"/>
            </a:ext>
          </a:extLst>
        </xdr:cNvPr>
        <xdr:cNvSpPr txBox="1"/>
      </xdr:nvSpPr>
      <xdr:spPr>
        <a:xfrm>
          <a:off x="123825" y="35528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Management</a:t>
          </a:r>
        </a:p>
      </xdr:txBody>
    </xdr:sp>
    <xdr:clientData/>
  </xdr:twoCellAnchor>
  <xdr:twoCellAnchor>
    <xdr:from>
      <xdr:col>0</xdr:col>
      <xdr:colOff>133350</xdr:colOff>
      <xdr:row>20</xdr:row>
      <xdr:rowOff>19050</xdr:rowOff>
    </xdr:from>
    <xdr:to>
      <xdr:col>2</xdr:col>
      <xdr:colOff>47626</xdr:colOff>
      <xdr:row>21</xdr:row>
      <xdr:rowOff>85725</xdr:rowOff>
    </xdr:to>
    <xdr:sp macro="" textlink="">
      <xdr:nvSpPr>
        <xdr:cNvPr id="48" name="TextBox 47">
          <a:extLst>
            <a:ext uri="{FF2B5EF4-FFF2-40B4-BE49-F238E27FC236}">
              <a16:creationId xmlns:a16="http://schemas.microsoft.com/office/drawing/2014/main" id="{DE71CF5C-E4E8-4FA6-885A-1085903C0FB9}"/>
            </a:ext>
          </a:extLst>
        </xdr:cNvPr>
        <xdr:cNvSpPr txBox="1"/>
      </xdr:nvSpPr>
      <xdr:spPr>
        <a:xfrm>
          <a:off x="133350" y="382905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Segoe UI Semibold" panose="020B0702040204020203" pitchFamily="34" charset="0"/>
              <a:cs typeface="Segoe UI Semibold" panose="020B0702040204020203" pitchFamily="34" charset="0"/>
            </a:rPr>
            <a:t>Python</a:t>
          </a:r>
        </a:p>
      </xdr:txBody>
    </xdr:sp>
    <xdr:clientData/>
  </xdr:twoCellAnchor>
  <xdr:twoCellAnchor>
    <xdr:from>
      <xdr:col>2</xdr:col>
      <xdr:colOff>190500</xdr:colOff>
      <xdr:row>13</xdr:row>
      <xdr:rowOff>133350</xdr:rowOff>
    </xdr:from>
    <xdr:to>
      <xdr:col>4</xdr:col>
      <xdr:colOff>104776</xdr:colOff>
      <xdr:row>15</xdr:row>
      <xdr:rowOff>9525</xdr:rowOff>
    </xdr:to>
    <xdr:sp macro="" textlink="'Pivot Table'!U12">
      <xdr:nvSpPr>
        <xdr:cNvPr id="66" name="TextBox 65">
          <a:extLst>
            <a:ext uri="{FF2B5EF4-FFF2-40B4-BE49-F238E27FC236}">
              <a16:creationId xmlns:a16="http://schemas.microsoft.com/office/drawing/2014/main" id="{68B630B5-034C-4DAB-9769-B76591DAE86D}"/>
            </a:ext>
          </a:extLst>
        </xdr:cNvPr>
        <xdr:cNvSpPr txBox="1"/>
      </xdr:nvSpPr>
      <xdr:spPr>
        <a:xfrm>
          <a:off x="1409700" y="260985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BA9A25-12D2-4917-8F5A-35B3BCD6DCEC}" type="TxLink">
            <a:rPr lang="en-US" sz="1200" b="0" i="0" u="none" strike="noStrike">
              <a:solidFill>
                <a:srgbClr val="FFC000"/>
              </a:solidFill>
              <a:latin typeface="Segoe UI Semibold" panose="020B0702040204020203" pitchFamily="34" charset="0"/>
              <a:cs typeface="Segoe UI Semibold" panose="020B0702040204020203" pitchFamily="34" charset="0"/>
            </a:rPr>
            <a:t>12</a:t>
          </a:fld>
          <a:endParaRPr lang="en-US" sz="12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200025</xdr:colOff>
      <xdr:row>15</xdr:row>
      <xdr:rowOff>76200</xdr:rowOff>
    </xdr:from>
    <xdr:to>
      <xdr:col>4</xdr:col>
      <xdr:colOff>114301</xdr:colOff>
      <xdr:row>16</xdr:row>
      <xdr:rowOff>142875</xdr:rowOff>
    </xdr:to>
    <xdr:sp macro="" textlink="'Pivot Table'!U13">
      <xdr:nvSpPr>
        <xdr:cNvPr id="67" name="TextBox 66">
          <a:extLst>
            <a:ext uri="{FF2B5EF4-FFF2-40B4-BE49-F238E27FC236}">
              <a16:creationId xmlns:a16="http://schemas.microsoft.com/office/drawing/2014/main" id="{00C006B3-CBFA-4CD1-B578-5A1F06992C95}"/>
            </a:ext>
          </a:extLst>
        </xdr:cNvPr>
        <xdr:cNvSpPr txBox="1"/>
      </xdr:nvSpPr>
      <xdr:spPr>
        <a:xfrm>
          <a:off x="1419225" y="293370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384313-5037-4892-9F48-C0DD53E94076}" type="TxLink">
            <a:rPr lang="en-US" sz="1200" b="0" i="0" u="none" strike="noStrike">
              <a:solidFill>
                <a:srgbClr val="FFC000"/>
              </a:solidFill>
              <a:latin typeface="Segoe UI Semibold" panose="020B0702040204020203" pitchFamily="34" charset="0"/>
              <a:cs typeface="Segoe UI Semibold" panose="020B0702040204020203" pitchFamily="34" charset="0"/>
            </a:rPr>
            <a:t>11</a:t>
          </a:fld>
          <a:endParaRPr lang="en-US" sz="12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209550</xdr:colOff>
      <xdr:row>17</xdr:row>
      <xdr:rowOff>9525</xdr:rowOff>
    </xdr:from>
    <xdr:to>
      <xdr:col>4</xdr:col>
      <xdr:colOff>123826</xdr:colOff>
      <xdr:row>18</xdr:row>
      <xdr:rowOff>76200</xdr:rowOff>
    </xdr:to>
    <xdr:sp macro="" textlink="'Pivot Table'!U14">
      <xdr:nvSpPr>
        <xdr:cNvPr id="68" name="TextBox 67">
          <a:extLst>
            <a:ext uri="{FF2B5EF4-FFF2-40B4-BE49-F238E27FC236}">
              <a16:creationId xmlns:a16="http://schemas.microsoft.com/office/drawing/2014/main" id="{9E51F033-62F9-46E2-9F8D-2F630DCB7A99}"/>
            </a:ext>
          </a:extLst>
        </xdr:cNvPr>
        <xdr:cNvSpPr txBox="1"/>
      </xdr:nvSpPr>
      <xdr:spPr>
        <a:xfrm>
          <a:off x="1428750" y="32480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0BAC73-3480-4E6C-B4BA-54F19DFC833C}" type="TxLink">
            <a:rPr lang="en-US" sz="1200" b="0" i="0" u="none" strike="noStrike">
              <a:solidFill>
                <a:srgbClr val="FFC000"/>
              </a:solidFill>
              <a:latin typeface="Segoe UI Semibold" panose="020B0702040204020203" pitchFamily="34" charset="0"/>
              <a:cs typeface="Segoe UI Semibold" panose="020B0702040204020203" pitchFamily="34" charset="0"/>
            </a:rPr>
            <a:t>7</a:t>
          </a:fld>
          <a:endParaRPr lang="en-US" sz="12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219075</xdr:colOff>
      <xdr:row>18</xdr:row>
      <xdr:rowOff>114300</xdr:rowOff>
    </xdr:from>
    <xdr:to>
      <xdr:col>4</xdr:col>
      <xdr:colOff>133351</xdr:colOff>
      <xdr:row>19</xdr:row>
      <xdr:rowOff>180975</xdr:rowOff>
    </xdr:to>
    <xdr:sp macro="" textlink="'Pivot Table'!U15">
      <xdr:nvSpPr>
        <xdr:cNvPr id="69" name="TextBox 68">
          <a:extLst>
            <a:ext uri="{FF2B5EF4-FFF2-40B4-BE49-F238E27FC236}">
              <a16:creationId xmlns:a16="http://schemas.microsoft.com/office/drawing/2014/main" id="{89B20FA1-6602-4F8C-B0A9-6D053D06F7AA}"/>
            </a:ext>
          </a:extLst>
        </xdr:cNvPr>
        <xdr:cNvSpPr txBox="1"/>
      </xdr:nvSpPr>
      <xdr:spPr>
        <a:xfrm>
          <a:off x="1438275" y="3543300"/>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828DA-B27B-48AF-BD6A-3E5B25E80D30}" type="TxLink">
            <a:rPr lang="en-US" sz="1200" b="0" i="0" u="none" strike="noStrike">
              <a:solidFill>
                <a:srgbClr val="FFC000"/>
              </a:solidFill>
              <a:latin typeface="Segoe UI Semibold" panose="020B0702040204020203" pitchFamily="34" charset="0"/>
              <a:cs typeface="Segoe UI Semibold" panose="020B0702040204020203" pitchFamily="34" charset="0"/>
            </a:rPr>
            <a:t>11</a:t>
          </a:fld>
          <a:endParaRPr lang="en-US" sz="12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2</xdr:col>
      <xdr:colOff>228600</xdr:colOff>
      <xdr:row>20</xdr:row>
      <xdr:rowOff>9525</xdr:rowOff>
    </xdr:from>
    <xdr:to>
      <xdr:col>4</xdr:col>
      <xdr:colOff>142876</xdr:colOff>
      <xdr:row>21</xdr:row>
      <xdr:rowOff>76200</xdr:rowOff>
    </xdr:to>
    <xdr:sp macro="" textlink="'Pivot Table'!U16">
      <xdr:nvSpPr>
        <xdr:cNvPr id="70" name="TextBox 69">
          <a:extLst>
            <a:ext uri="{FF2B5EF4-FFF2-40B4-BE49-F238E27FC236}">
              <a16:creationId xmlns:a16="http://schemas.microsoft.com/office/drawing/2014/main" id="{C8AB6554-9C47-41BA-B160-7F16A856C4C7}"/>
            </a:ext>
          </a:extLst>
        </xdr:cNvPr>
        <xdr:cNvSpPr txBox="1"/>
      </xdr:nvSpPr>
      <xdr:spPr>
        <a:xfrm>
          <a:off x="1447800" y="3819525"/>
          <a:ext cx="11334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52954F-4253-4E4A-A223-E27CFD6CB921}" type="TxLink">
            <a:rPr lang="en-US" sz="1200" b="0" i="0" u="none" strike="noStrike">
              <a:solidFill>
                <a:srgbClr val="FFC000"/>
              </a:solidFill>
              <a:latin typeface="Segoe UI Semibold" panose="020B0702040204020203" pitchFamily="34" charset="0"/>
              <a:cs typeface="Segoe UI Semibold" panose="020B0702040204020203" pitchFamily="34" charset="0"/>
            </a:rPr>
            <a:t>9</a:t>
          </a:fld>
          <a:endParaRPr lang="en-US" sz="12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190500</xdr:colOff>
      <xdr:row>9</xdr:row>
      <xdr:rowOff>171450</xdr:rowOff>
    </xdr:from>
    <xdr:to>
      <xdr:col>3</xdr:col>
      <xdr:colOff>219075</xdr:colOff>
      <xdr:row>14</xdr:row>
      <xdr:rowOff>142875</xdr:rowOff>
    </xdr:to>
    <xdr:sp macro="" textlink="">
      <xdr:nvSpPr>
        <xdr:cNvPr id="71" name="TextBox 70">
          <a:extLst>
            <a:ext uri="{FF2B5EF4-FFF2-40B4-BE49-F238E27FC236}">
              <a16:creationId xmlns:a16="http://schemas.microsoft.com/office/drawing/2014/main" id="{5D5E6529-33AD-45C4-8117-576CC81ABDBF}"/>
            </a:ext>
          </a:extLst>
        </xdr:cNvPr>
        <xdr:cNvSpPr txBox="1"/>
      </xdr:nvSpPr>
      <xdr:spPr>
        <a:xfrm>
          <a:off x="190500" y="1885950"/>
          <a:ext cx="1857375"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C000"/>
              </a:solidFill>
              <a:latin typeface="Segoe UI Semibold" panose="020B0702040204020203" pitchFamily="34" charset="0"/>
              <a:cs typeface="Segoe UI Semibold" panose="020B0702040204020203" pitchFamily="34" charset="0"/>
            </a:rPr>
            <a:t>Skills</a:t>
          </a:r>
        </a:p>
        <a:p>
          <a:r>
            <a:rPr lang="en-US" sz="1800">
              <a:solidFill>
                <a:srgbClr val="FFC000"/>
              </a:solidFill>
              <a:latin typeface="Segoe UI Semibold" panose="020B0702040204020203" pitchFamily="34" charset="0"/>
              <a:cs typeface="Segoe UI Semibold" panose="020B0702040204020203" pitchFamily="34" charset="0"/>
            </a:rPr>
            <a:t>BreakDown</a:t>
          </a:r>
        </a:p>
      </xdr:txBody>
    </xdr:sp>
    <xdr:clientData/>
  </xdr:twoCellAnchor>
  <xdr:twoCellAnchor>
    <xdr:from>
      <xdr:col>0</xdr:col>
      <xdr:colOff>228600</xdr:colOff>
      <xdr:row>10</xdr:row>
      <xdr:rowOff>85725</xdr:rowOff>
    </xdr:from>
    <xdr:to>
      <xdr:col>0</xdr:col>
      <xdr:colOff>228600</xdr:colOff>
      <xdr:row>13</xdr:row>
      <xdr:rowOff>28575</xdr:rowOff>
    </xdr:to>
    <xdr:cxnSp macro="">
      <xdr:nvCxnSpPr>
        <xdr:cNvPr id="73" name="Straight Connector 72">
          <a:extLst>
            <a:ext uri="{FF2B5EF4-FFF2-40B4-BE49-F238E27FC236}">
              <a16:creationId xmlns:a16="http://schemas.microsoft.com/office/drawing/2014/main" id="{B92A0B6E-AD42-2BE3-557E-F1013DC5A11C}"/>
            </a:ext>
          </a:extLst>
        </xdr:cNvPr>
        <xdr:cNvCxnSpPr/>
      </xdr:nvCxnSpPr>
      <xdr:spPr>
        <a:xfrm>
          <a:off x="228600" y="1990725"/>
          <a:ext cx="0" cy="514350"/>
        </a:xfrm>
        <a:prstGeom prst="line">
          <a:avLst/>
        </a:prstGeom>
        <a:ln w="38100">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361950</xdr:colOff>
      <xdr:row>6</xdr:row>
      <xdr:rowOff>123825</xdr:rowOff>
    </xdr:from>
    <xdr:to>
      <xdr:col>6</xdr:col>
      <xdr:colOff>561975</xdr:colOff>
      <xdr:row>8</xdr:row>
      <xdr:rowOff>28575</xdr:rowOff>
    </xdr:to>
    <xdr:sp macro="" textlink="">
      <xdr:nvSpPr>
        <xdr:cNvPr id="79" name="TextBox 78">
          <a:extLst>
            <a:ext uri="{FF2B5EF4-FFF2-40B4-BE49-F238E27FC236}">
              <a16:creationId xmlns:a16="http://schemas.microsoft.com/office/drawing/2014/main" id="{9F86A4B4-430A-44B4-9923-511D3CAB0C4E}"/>
            </a:ext>
          </a:extLst>
        </xdr:cNvPr>
        <xdr:cNvSpPr txBox="1"/>
      </xdr:nvSpPr>
      <xdr:spPr>
        <a:xfrm>
          <a:off x="2190750" y="1266825"/>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Employees Number</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266699</xdr:colOff>
      <xdr:row>7</xdr:row>
      <xdr:rowOff>76199</xdr:rowOff>
    </xdr:from>
    <xdr:to>
      <xdr:col>5</xdr:col>
      <xdr:colOff>9524</xdr:colOff>
      <xdr:row>11</xdr:row>
      <xdr:rowOff>133350</xdr:rowOff>
    </xdr:to>
    <xdr:sp macro="" textlink="'Pivot Table'!P14">
      <xdr:nvSpPr>
        <xdr:cNvPr id="80" name="TextBox 79">
          <a:extLst>
            <a:ext uri="{FF2B5EF4-FFF2-40B4-BE49-F238E27FC236}">
              <a16:creationId xmlns:a16="http://schemas.microsoft.com/office/drawing/2014/main" id="{B7550AF5-F53D-4AA5-9EBD-611F4968CF79}"/>
            </a:ext>
          </a:extLst>
        </xdr:cNvPr>
        <xdr:cNvSpPr txBox="1"/>
      </xdr:nvSpPr>
      <xdr:spPr>
        <a:xfrm>
          <a:off x="2095499" y="1409699"/>
          <a:ext cx="962025" cy="819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78B404-E58B-4B91-AB52-D7A46F1D01EA}" type="TxLink">
            <a:rPr lang="en-US" sz="4000" b="1" i="0" u="none" strike="noStrike">
              <a:solidFill>
                <a:schemeClr val="bg1"/>
              </a:solidFill>
              <a:latin typeface="Segoe UI Semibold" panose="020B0702040204020203" pitchFamily="34" charset="0"/>
              <a:cs typeface="Segoe UI Semibold" panose="020B0702040204020203" pitchFamily="34" charset="0"/>
            </a:rPr>
            <a:t>50</a:t>
          </a:fld>
          <a:endParaRPr lang="en-US" sz="40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300036</xdr:colOff>
      <xdr:row>11</xdr:row>
      <xdr:rowOff>0</xdr:rowOff>
    </xdr:from>
    <xdr:to>
      <xdr:col>6</xdr:col>
      <xdr:colOff>247649</xdr:colOff>
      <xdr:row>12</xdr:row>
      <xdr:rowOff>66675</xdr:rowOff>
    </xdr:to>
    <xdr:sp macro="" textlink="">
      <xdr:nvSpPr>
        <xdr:cNvPr id="81" name="TextBox 80">
          <a:extLst>
            <a:ext uri="{FF2B5EF4-FFF2-40B4-BE49-F238E27FC236}">
              <a16:creationId xmlns:a16="http://schemas.microsoft.com/office/drawing/2014/main" id="{7923408A-39EA-43F5-B2F5-9150C0020E34}"/>
            </a:ext>
          </a:extLst>
        </xdr:cNvPr>
        <xdr:cNvSpPr txBox="1"/>
      </xdr:nvSpPr>
      <xdr:spPr>
        <a:xfrm>
          <a:off x="2128836" y="2095500"/>
          <a:ext cx="1776413"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latin typeface="Segoe UI Semibold" panose="020B0702040204020203" pitchFamily="34" charset="0"/>
              <a:cs typeface="Segoe UI Semibold" panose="020B0702040204020203" pitchFamily="34" charset="0"/>
            </a:rPr>
            <a:t>Total</a:t>
          </a:r>
          <a:r>
            <a:rPr lang="en-US" sz="1100" baseline="0">
              <a:solidFill>
                <a:schemeClr val="bg1">
                  <a:lumMod val="85000"/>
                </a:schemeClr>
              </a:solidFill>
              <a:latin typeface="Segoe UI Semibold" panose="020B0702040204020203" pitchFamily="34" charset="0"/>
              <a:cs typeface="Segoe UI Semibold" panose="020B0702040204020203" pitchFamily="34" charset="0"/>
            </a:rPr>
            <a:t> Employees</a:t>
          </a:r>
          <a:endParaRPr lang="en-US" sz="1100">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285750</xdr:colOff>
      <xdr:row>13</xdr:row>
      <xdr:rowOff>38100</xdr:rowOff>
    </xdr:from>
    <xdr:to>
      <xdr:col>4</xdr:col>
      <xdr:colOff>447675</xdr:colOff>
      <xdr:row>14</xdr:row>
      <xdr:rowOff>133350</xdr:rowOff>
    </xdr:to>
    <xdr:sp macro="" textlink="">
      <xdr:nvSpPr>
        <xdr:cNvPr id="82" name="TextBox 81">
          <a:extLst>
            <a:ext uri="{FF2B5EF4-FFF2-40B4-BE49-F238E27FC236}">
              <a16:creationId xmlns:a16="http://schemas.microsoft.com/office/drawing/2014/main" id="{B2B3F618-E163-4A1F-BE8E-C7E74A579458}"/>
            </a:ext>
          </a:extLst>
        </xdr:cNvPr>
        <xdr:cNvSpPr txBox="1"/>
      </xdr:nvSpPr>
      <xdr:spPr>
        <a:xfrm>
          <a:off x="2114550" y="2514600"/>
          <a:ext cx="7715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Males</a:t>
          </a:r>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209550</xdr:colOff>
      <xdr:row>13</xdr:row>
      <xdr:rowOff>28575</xdr:rowOff>
    </xdr:from>
    <xdr:to>
      <xdr:col>6</xdr:col>
      <xdr:colOff>466725</xdr:colOff>
      <xdr:row>14</xdr:row>
      <xdr:rowOff>123825</xdr:rowOff>
    </xdr:to>
    <xdr:sp macro="" textlink="">
      <xdr:nvSpPr>
        <xdr:cNvPr id="83" name="TextBox 82">
          <a:extLst>
            <a:ext uri="{FF2B5EF4-FFF2-40B4-BE49-F238E27FC236}">
              <a16:creationId xmlns:a16="http://schemas.microsoft.com/office/drawing/2014/main" id="{6C456C88-2360-4517-9D53-18560EE28C6E}"/>
            </a:ext>
          </a:extLst>
        </xdr:cNvPr>
        <xdr:cNvSpPr txBox="1"/>
      </xdr:nvSpPr>
      <xdr:spPr>
        <a:xfrm>
          <a:off x="3257550" y="2505075"/>
          <a:ext cx="866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Females</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161924</xdr:colOff>
      <xdr:row>14</xdr:row>
      <xdr:rowOff>9525</xdr:rowOff>
    </xdr:from>
    <xdr:to>
      <xdr:col>5</xdr:col>
      <xdr:colOff>114299</xdr:colOff>
      <xdr:row>19</xdr:row>
      <xdr:rowOff>19051</xdr:rowOff>
    </xdr:to>
    <xdr:graphicFrame macro="">
      <xdr:nvGraphicFramePr>
        <xdr:cNvPr id="84" name="Chart 83">
          <a:extLst>
            <a:ext uri="{FF2B5EF4-FFF2-40B4-BE49-F238E27FC236}">
              <a16:creationId xmlns:a16="http://schemas.microsoft.com/office/drawing/2014/main" id="{B8196EF0-D6A5-4084-95A2-5B885B32E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95250</xdr:colOff>
      <xdr:row>14</xdr:row>
      <xdr:rowOff>9524</xdr:rowOff>
    </xdr:from>
    <xdr:to>
      <xdr:col>7</xdr:col>
      <xdr:colOff>46050</xdr:colOff>
      <xdr:row>19</xdr:row>
      <xdr:rowOff>18224</xdr:rowOff>
    </xdr:to>
    <xdr:graphicFrame macro="">
      <xdr:nvGraphicFramePr>
        <xdr:cNvPr id="85" name="Chart 84">
          <a:extLst>
            <a:ext uri="{FF2B5EF4-FFF2-40B4-BE49-F238E27FC236}">
              <a16:creationId xmlns:a16="http://schemas.microsoft.com/office/drawing/2014/main" id="{00A9263E-8384-428D-B537-07863641C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495300</xdr:colOff>
      <xdr:row>15</xdr:row>
      <xdr:rowOff>133349</xdr:rowOff>
    </xdr:from>
    <xdr:to>
      <xdr:col>4</xdr:col>
      <xdr:colOff>438150</xdr:colOff>
      <xdr:row>18</xdr:row>
      <xdr:rowOff>19050</xdr:rowOff>
    </xdr:to>
    <xdr:sp macro="" textlink="'Pivot Table'!$K$20">
      <xdr:nvSpPr>
        <xdr:cNvPr id="86" name="TextBox 85">
          <a:extLst>
            <a:ext uri="{FF2B5EF4-FFF2-40B4-BE49-F238E27FC236}">
              <a16:creationId xmlns:a16="http://schemas.microsoft.com/office/drawing/2014/main" id="{E05FF7A2-779A-4EF9-A15E-0010D46743C3}"/>
            </a:ext>
          </a:extLst>
        </xdr:cNvPr>
        <xdr:cNvSpPr txBox="1"/>
      </xdr:nvSpPr>
      <xdr:spPr>
        <a:xfrm>
          <a:off x="2324100" y="2990849"/>
          <a:ext cx="552450"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F08DAD-560A-40CF-8C00-AE63CC326341}" type="TxLink">
            <a:rPr lang="en-US" sz="1400" b="1" i="0" u="none" strike="noStrike">
              <a:solidFill>
                <a:schemeClr val="bg1">
                  <a:lumMod val="85000"/>
                </a:schemeClr>
              </a:solidFill>
              <a:latin typeface="Segoe UI Semibold" panose="020B0702040204020203" pitchFamily="34" charset="0"/>
              <a:cs typeface="Segoe UI Semibold" panose="020B0702040204020203" pitchFamily="34" charset="0"/>
            </a:rPr>
            <a:t>48%</a:t>
          </a:fld>
          <a:endParaRPr lang="en-US" sz="1400">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447675</xdr:colOff>
      <xdr:row>15</xdr:row>
      <xdr:rowOff>123825</xdr:rowOff>
    </xdr:from>
    <xdr:to>
      <xdr:col>6</xdr:col>
      <xdr:colOff>390525</xdr:colOff>
      <xdr:row>17</xdr:row>
      <xdr:rowOff>47625</xdr:rowOff>
    </xdr:to>
    <xdr:sp macro="" textlink="'Pivot Table'!$K$21">
      <xdr:nvSpPr>
        <xdr:cNvPr id="87" name="TextBox 86">
          <a:extLst>
            <a:ext uri="{FF2B5EF4-FFF2-40B4-BE49-F238E27FC236}">
              <a16:creationId xmlns:a16="http://schemas.microsoft.com/office/drawing/2014/main" id="{BAA8BA7F-5E42-4098-AEC7-67AC18AB1418}"/>
            </a:ext>
          </a:extLst>
        </xdr:cNvPr>
        <xdr:cNvSpPr txBox="1"/>
      </xdr:nvSpPr>
      <xdr:spPr>
        <a:xfrm>
          <a:off x="3495675" y="2981325"/>
          <a:ext cx="552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39E6492-79B5-412C-B9CF-B6E992A13372}" type="TxLink">
            <a:rPr lang="en-US" sz="1400" b="1" i="0" u="none" strike="noStrike">
              <a:solidFill>
                <a:schemeClr val="bg1">
                  <a:lumMod val="85000"/>
                </a:schemeClr>
              </a:solidFill>
              <a:latin typeface="Segoe UI Semibold" panose="020B0702040204020203" pitchFamily="34" charset="0"/>
              <a:ea typeface="+mn-ea"/>
              <a:cs typeface="Segoe UI Semibold" panose="020B0702040204020203" pitchFamily="34" charset="0"/>
            </a:rPr>
            <a:pPr marL="0" indent="0"/>
            <a:t>52%</a:t>
          </a:fld>
          <a:endParaRPr lang="en-US" sz="1400" b="1" i="0" u="none" strike="noStrike">
            <a:solidFill>
              <a:schemeClr val="bg1">
                <a:lumMod val="85000"/>
              </a:schemeClr>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7</xdr:col>
      <xdr:colOff>123825</xdr:colOff>
      <xdr:row>9</xdr:row>
      <xdr:rowOff>28575</xdr:rowOff>
    </xdr:from>
    <xdr:to>
      <xdr:col>11</xdr:col>
      <xdr:colOff>104775</xdr:colOff>
      <xdr:row>17</xdr:row>
      <xdr:rowOff>66676</xdr:rowOff>
    </xdr:to>
    <xdr:graphicFrame macro="">
      <xdr:nvGraphicFramePr>
        <xdr:cNvPr id="88" name="Chart 87">
          <a:extLst>
            <a:ext uri="{FF2B5EF4-FFF2-40B4-BE49-F238E27FC236}">
              <a16:creationId xmlns:a16="http://schemas.microsoft.com/office/drawing/2014/main" id="{28ED7E2D-4316-49EE-A18D-398CDDF0F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304800</xdr:colOff>
      <xdr:row>16</xdr:row>
      <xdr:rowOff>104775</xdr:rowOff>
    </xdr:from>
    <xdr:to>
      <xdr:col>9</xdr:col>
      <xdr:colOff>561975</xdr:colOff>
      <xdr:row>18</xdr:row>
      <xdr:rowOff>9525</xdr:rowOff>
    </xdr:to>
    <xdr:sp macro="" textlink="">
      <xdr:nvSpPr>
        <xdr:cNvPr id="89" name="TextBox 88">
          <a:extLst>
            <a:ext uri="{FF2B5EF4-FFF2-40B4-BE49-F238E27FC236}">
              <a16:creationId xmlns:a16="http://schemas.microsoft.com/office/drawing/2014/main" id="{04B323A4-FC5B-4127-B3EE-2BD9AE331ECA}"/>
            </a:ext>
          </a:extLst>
        </xdr:cNvPr>
        <xdr:cNvSpPr txBox="1"/>
      </xdr:nvSpPr>
      <xdr:spPr>
        <a:xfrm>
          <a:off x="5181600" y="3152775"/>
          <a:ext cx="8667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Segoe UI Semibold" panose="020B0702040204020203" pitchFamily="34" charset="0"/>
              <a:cs typeface="Segoe UI Semibold" panose="020B0702040204020203" pitchFamily="34" charset="0"/>
            </a:rPr>
            <a:t>    Manager</a:t>
          </a:r>
        </a:p>
      </xdr:txBody>
    </xdr:sp>
    <xdr:clientData/>
  </xdr:twoCellAnchor>
  <xdr:twoCellAnchor>
    <xdr:from>
      <xdr:col>8</xdr:col>
      <xdr:colOff>390525</xdr:colOff>
      <xdr:row>17</xdr:row>
      <xdr:rowOff>19050</xdr:rowOff>
    </xdr:from>
    <xdr:to>
      <xdr:col>8</xdr:col>
      <xdr:colOff>476250</xdr:colOff>
      <xdr:row>17</xdr:row>
      <xdr:rowOff>85726</xdr:rowOff>
    </xdr:to>
    <xdr:sp macro="" textlink="">
      <xdr:nvSpPr>
        <xdr:cNvPr id="90" name="Oval 89">
          <a:extLst>
            <a:ext uri="{FF2B5EF4-FFF2-40B4-BE49-F238E27FC236}">
              <a16:creationId xmlns:a16="http://schemas.microsoft.com/office/drawing/2014/main" id="{06A562BF-58BD-8787-3DBA-3B9CAE52256D}"/>
            </a:ext>
          </a:extLst>
        </xdr:cNvPr>
        <xdr:cNvSpPr/>
      </xdr:nvSpPr>
      <xdr:spPr>
        <a:xfrm>
          <a:off x="5267325" y="3257550"/>
          <a:ext cx="85725" cy="66676"/>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257174</xdr:colOff>
      <xdr:row>17</xdr:row>
      <xdr:rowOff>123825</xdr:rowOff>
    </xdr:from>
    <xdr:to>
      <xdr:col>9</xdr:col>
      <xdr:colOff>180975</xdr:colOff>
      <xdr:row>19</xdr:row>
      <xdr:rowOff>28575</xdr:rowOff>
    </xdr:to>
    <xdr:sp macro="" textlink="">
      <xdr:nvSpPr>
        <xdr:cNvPr id="91" name="TextBox 90">
          <a:extLst>
            <a:ext uri="{FF2B5EF4-FFF2-40B4-BE49-F238E27FC236}">
              <a16:creationId xmlns:a16="http://schemas.microsoft.com/office/drawing/2014/main" id="{DB8EDF09-EFF1-408C-A5FE-6C6C6B56F5EB}"/>
            </a:ext>
          </a:extLst>
        </xdr:cNvPr>
        <xdr:cNvSpPr txBox="1"/>
      </xdr:nvSpPr>
      <xdr:spPr>
        <a:xfrm>
          <a:off x="4524374" y="3362325"/>
          <a:ext cx="1143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Segoe UI Semibold" panose="020B0702040204020203" pitchFamily="34" charset="0"/>
              <a:cs typeface="Segoe UI Semibold" panose="020B0702040204020203" pitchFamily="34" charset="0"/>
            </a:rPr>
            <a:t>    HR</a:t>
          </a:r>
          <a:r>
            <a:rPr lang="en-US" sz="1000" baseline="0">
              <a:solidFill>
                <a:schemeClr val="bg1"/>
              </a:solidFill>
              <a:latin typeface="Segoe UI Semibold" panose="020B0702040204020203" pitchFamily="34" charset="0"/>
              <a:cs typeface="Segoe UI Semibold" panose="020B0702040204020203" pitchFamily="34" charset="0"/>
            </a:rPr>
            <a:t> Specialist</a:t>
          </a:r>
          <a:endParaRPr lang="en-US" sz="10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371475</xdr:colOff>
      <xdr:row>18</xdr:row>
      <xdr:rowOff>38100</xdr:rowOff>
    </xdr:from>
    <xdr:to>
      <xdr:col>7</xdr:col>
      <xdr:colOff>457200</xdr:colOff>
      <xdr:row>18</xdr:row>
      <xdr:rowOff>104776</xdr:rowOff>
    </xdr:to>
    <xdr:sp macro="" textlink="">
      <xdr:nvSpPr>
        <xdr:cNvPr id="92" name="Oval 91">
          <a:extLst>
            <a:ext uri="{FF2B5EF4-FFF2-40B4-BE49-F238E27FC236}">
              <a16:creationId xmlns:a16="http://schemas.microsoft.com/office/drawing/2014/main" id="{A235A39E-95D3-44FB-B45D-E9C644F0751B}"/>
            </a:ext>
          </a:extLst>
        </xdr:cNvPr>
        <xdr:cNvSpPr/>
      </xdr:nvSpPr>
      <xdr:spPr>
        <a:xfrm>
          <a:off x="4638675" y="3467100"/>
          <a:ext cx="85725" cy="66676"/>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85725</xdr:colOff>
      <xdr:row>18</xdr:row>
      <xdr:rowOff>38100</xdr:rowOff>
    </xdr:from>
    <xdr:to>
      <xdr:col>9</xdr:col>
      <xdr:colOff>171450</xdr:colOff>
      <xdr:row>18</xdr:row>
      <xdr:rowOff>104776</xdr:rowOff>
    </xdr:to>
    <xdr:sp macro="" textlink="">
      <xdr:nvSpPr>
        <xdr:cNvPr id="93" name="Oval 92">
          <a:extLst>
            <a:ext uri="{FF2B5EF4-FFF2-40B4-BE49-F238E27FC236}">
              <a16:creationId xmlns:a16="http://schemas.microsoft.com/office/drawing/2014/main" id="{88D7908C-4850-4958-BA64-893FBC3FE8D7}"/>
            </a:ext>
          </a:extLst>
        </xdr:cNvPr>
        <xdr:cNvSpPr/>
      </xdr:nvSpPr>
      <xdr:spPr>
        <a:xfrm>
          <a:off x="5572125" y="3467100"/>
          <a:ext cx="85725" cy="66676"/>
        </a:xfrm>
        <a:prstGeom prst="ellipse">
          <a:avLst/>
        </a:prstGeom>
        <a:solidFill>
          <a:srgbClr val="978E1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590550</xdr:colOff>
      <xdr:row>17</xdr:row>
      <xdr:rowOff>114300</xdr:rowOff>
    </xdr:from>
    <xdr:to>
      <xdr:col>10</xdr:col>
      <xdr:colOff>571500</xdr:colOff>
      <xdr:row>19</xdr:row>
      <xdr:rowOff>19050</xdr:rowOff>
    </xdr:to>
    <xdr:sp macro="" textlink="">
      <xdr:nvSpPr>
        <xdr:cNvPr id="94" name="TextBox 93">
          <a:extLst>
            <a:ext uri="{FF2B5EF4-FFF2-40B4-BE49-F238E27FC236}">
              <a16:creationId xmlns:a16="http://schemas.microsoft.com/office/drawing/2014/main" id="{E9FDE176-6D80-43F5-B73B-26DCE23624DF}"/>
            </a:ext>
          </a:extLst>
        </xdr:cNvPr>
        <xdr:cNvSpPr txBox="1"/>
      </xdr:nvSpPr>
      <xdr:spPr>
        <a:xfrm>
          <a:off x="5467350" y="3352800"/>
          <a:ext cx="1200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Segoe UI Semibold" panose="020B0702040204020203" pitchFamily="34" charset="0"/>
              <a:cs typeface="Segoe UI Semibold" panose="020B0702040204020203" pitchFamily="34" charset="0"/>
            </a:rPr>
            <a:t>    Developer</a:t>
          </a:r>
        </a:p>
      </xdr:txBody>
    </xdr:sp>
    <xdr:clientData/>
  </xdr:twoCellAnchor>
  <xdr:twoCellAnchor>
    <xdr:from>
      <xdr:col>9</xdr:col>
      <xdr:colOff>514350</xdr:colOff>
      <xdr:row>17</xdr:row>
      <xdr:rowOff>28575</xdr:rowOff>
    </xdr:from>
    <xdr:to>
      <xdr:col>9</xdr:col>
      <xdr:colOff>600075</xdr:colOff>
      <xdr:row>17</xdr:row>
      <xdr:rowOff>95251</xdr:rowOff>
    </xdr:to>
    <xdr:sp macro="" textlink="">
      <xdr:nvSpPr>
        <xdr:cNvPr id="95" name="Oval 94">
          <a:extLst>
            <a:ext uri="{FF2B5EF4-FFF2-40B4-BE49-F238E27FC236}">
              <a16:creationId xmlns:a16="http://schemas.microsoft.com/office/drawing/2014/main" id="{38D16403-CFD4-41A0-B315-2D7C74350A5C}"/>
            </a:ext>
          </a:extLst>
        </xdr:cNvPr>
        <xdr:cNvSpPr/>
      </xdr:nvSpPr>
      <xdr:spPr>
        <a:xfrm>
          <a:off x="6000750" y="3267075"/>
          <a:ext cx="85725" cy="66676"/>
        </a:xfrm>
        <a:prstGeom prst="ellipse">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16</xdr:row>
      <xdr:rowOff>114300</xdr:rowOff>
    </xdr:from>
    <xdr:to>
      <xdr:col>11</xdr:col>
      <xdr:colOff>180975</xdr:colOff>
      <xdr:row>18</xdr:row>
      <xdr:rowOff>19050</xdr:rowOff>
    </xdr:to>
    <xdr:sp macro="" textlink="">
      <xdr:nvSpPr>
        <xdr:cNvPr id="96" name="TextBox 95">
          <a:extLst>
            <a:ext uri="{FF2B5EF4-FFF2-40B4-BE49-F238E27FC236}">
              <a16:creationId xmlns:a16="http://schemas.microsoft.com/office/drawing/2014/main" id="{35704C6A-B726-48E1-BD73-CC6C7D052DFC}"/>
            </a:ext>
          </a:extLst>
        </xdr:cNvPr>
        <xdr:cNvSpPr txBox="1"/>
      </xdr:nvSpPr>
      <xdr:spPr>
        <a:xfrm>
          <a:off x="5905500" y="3162300"/>
          <a:ext cx="9810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Segoe UI Semibold" panose="020B0702040204020203" pitchFamily="34" charset="0"/>
              <a:cs typeface="Segoe UI Semibold" panose="020B0702040204020203" pitchFamily="34" charset="0"/>
            </a:rPr>
            <a:t>    Designer</a:t>
          </a:r>
        </a:p>
      </xdr:txBody>
    </xdr:sp>
    <xdr:clientData/>
  </xdr:twoCellAnchor>
  <xdr:twoCellAnchor>
    <xdr:from>
      <xdr:col>7</xdr:col>
      <xdr:colOff>371475</xdr:colOff>
      <xdr:row>17</xdr:row>
      <xdr:rowOff>28575</xdr:rowOff>
    </xdr:from>
    <xdr:to>
      <xdr:col>7</xdr:col>
      <xdr:colOff>457200</xdr:colOff>
      <xdr:row>17</xdr:row>
      <xdr:rowOff>95251</xdr:rowOff>
    </xdr:to>
    <xdr:sp macro="" textlink="">
      <xdr:nvSpPr>
        <xdr:cNvPr id="97" name="Oval 96">
          <a:extLst>
            <a:ext uri="{FF2B5EF4-FFF2-40B4-BE49-F238E27FC236}">
              <a16:creationId xmlns:a16="http://schemas.microsoft.com/office/drawing/2014/main" id="{1DCF1D2B-EBC4-49E8-A7A0-3CD8E4D569FD}"/>
            </a:ext>
          </a:extLst>
        </xdr:cNvPr>
        <xdr:cNvSpPr/>
      </xdr:nvSpPr>
      <xdr:spPr>
        <a:xfrm>
          <a:off x="4638675" y="3267075"/>
          <a:ext cx="85725" cy="66676"/>
        </a:xfrm>
        <a:prstGeom prst="ellipse">
          <a:avLst/>
        </a:prstGeom>
        <a:solidFill>
          <a:srgbClr val="4390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314325</xdr:colOff>
      <xdr:row>16</xdr:row>
      <xdr:rowOff>104775</xdr:rowOff>
    </xdr:from>
    <xdr:to>
      <xdr:col>8</xdr:col>
      <xdr:colOff>457200</xdr:colOff>
      <xdr:row>18</xdr:row>
      <xdr:rowOff>9525</xdr:rowOff>
    </xdr:to>
    <xdr:sp macro="" textlink="">
      <xdr:nvSpPr>
        <xdr:cNvPr id="98" name="TextBox 97">
          <a:extLst>
            <a:ext uri="{FF2B5EF4-FFF2-40B4-BE49-F238E27FC236}">
              <a16:creationId xmlns:a16="http://schemas.microsoft.com/office/drawing/2014/main" id="{96999F92-359E-4D76-ACC3-469E4FF60F93}"/>
            </a:ext>
          </a:extLst>
        </xdr:cNvPr>
        <xdr:cNvSpPr txBox="1"/>
      </xdr:nvSpPr>
      <xdr:spPr>
        <a:xfrm>
          <a:off x="4581525" y="3152775"/>
          <a:ext cx="752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Segoe UI Semibold" panose="020B0702040204020203" pitchFamily="34" charset="0"/>
              <a:cs typeface="Segoe UI Semibold" panose="020B0702040204020203" pitchFamily="34" charset="0"/>
            </a:rPr>
            <a:t>   Analyst</a:t>
          </a:r>
        </a:p>
      </xdr:txBody>
    </xdr:sp>
    <xdr:clientData/>
  </xdr:twoCellAnchor>
  <xdr:twoCellAnchor>
    <xdr:from>
      <xdr:col>0</xdr:col>
      <xdr:colOff>247650</xdr:colOff>
      <xdr:row>22</xdr:row>
      <xdr:rowOff>77475</xdr:rowOff>
    </xdr:from>
    <xdr:to>
      <xdr:col>3</xdr:col>
      <xdr:colOff>447675</xdr:colOff>
      <xdr:row>23</xdr:row>
      <xdr:rowOff>172725</xdr:rowOff>
    </xdr:to>
    <xdr:sp macro="" textlink="">
      <xdr:nvSpPr>
        <xdr:cNvPr id="99" name="TextBox 98">
          <a:extLst>
            <a:ext uri="{FF2B5EF4-FFF2-40B4-BE49-F238E27FC236}">
              <a16:creationId xmlns:a16="http://schemas.microsoft.com/office/drawing/2014/main" id="{20C76643-31B4-448C-AD49-36CCD4D3AB1A}"/>
            </a:ext>
          </a:extLst>
        </xdr:cNvPr>
        <xdr:cNvSpPr txBox="1"/>
      </xdr:nvSpPr>
      <xdr:spPr>
        <a:xfrm>
          <a:off x="247650" y="4268475"/>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Work Location</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361950</xdr:colOff>
      <xdr:row>6</xdr:row>
      <xdr:rowOff>123824</xdr:rowOff>
    </xdr:from>
    <xdr:to>
      <xdr:col>10</xdr:col>
      <xdr:colOff>561975</xdr:colOff>
      <xdr:row>8</xdr:row>
      <xdr:rowOff>28574</xdr:rowOff>
    </xdr:to>
    <xdr:sp macro="" textlink="">
      <xdr:nvSpPr>
        <xdr:cNvPr id="100" name="TextBox 99">
          <a:extLst>
            <a:ext uri="{FF2B5EF4-FFF2-40B4-BE49-F238E27FC236}">
              <a16:creationId xmlns:a16="http://schemas.microsoft.com/office/drawing/2014/main" id="{8F58053E-36C7-4AA9-88AB-5E6E01033AD3}"/>
            </a:ext>
          </a:extLst>
        </xdr:cNvPr>
        <xdr:cNvSpPr txBox="1"/>
      </xdr:nvSpPr>
      <xdr:spPr>
        <a:xfrm>
          <a:off x="4629150" y="1266824"/>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Leave Tracking</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257175</xdr:colOff>
      <xdr:row>7</xdr:row>
      <xdr:rowOff>161924</xdr:rowOff>
    </xdr:from>
    <xdr:to>
      <xdr:col>11</xdr:col>
      <xdr:colOff>0</xdr:colOff>
      <xdr:row>9</xdr:row>
      <xdr:rowOff>38099</xdr:rowOff>
    </xdr:to>
    <xdr:sp macro="" textlink="">
      <xdr:nvSpPr>
        <xdr:cNvPr id="101" name="TextBox 100">
          <a:extLst>
            <a:ext uri="{FF2B5EF4-FFF2-40B4-BE49-F238E27FC236}">
              <a16:creationId xmlns:a16="http://schemas.microsoft.com/office/drawing/2014/main" id="{A69A5C53-A8F9-4C1A-BFDD-89463ACB8C25}"/>
            </a:ext>
          </a:extLst>
        </xdr:cNvPr>
        <xdr:cNvSpPr txBox="1"/>
      </xdr:nvSpPr>
      <xdr:spPr>
        <a:xfrm>
          <a:off x="4524375" y="1495424"/>
          <a:ext cx="2181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bg1">
                  <a:lumMod val="65000"/>
                </a:schemeClr>
              </a:solidFill>
              <a:latin typeface="Segoe UI Semibold" panose="020B0702040204020203" pitchFamily="34" charset="0"/>
              <a:cs typeface="Segoe UI Semibold" panose="020B0702040204020203" pitchFamily="34" charset="0"/>
            </a:rPr>
            <a:t>Leave Taken by Job Title</a:t>
          </a:r>
          <a:endParaRPr lang="en-US" sz="100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295275</xdr:colOff>
      <xdr:row>10</xdr:row>
      <xdr:rowOff>152400</xdr:rowOff>
    </xdr:from>
    <xdr:to>
      <xdr:col>15</xdr:col>
      <xdr:colOff>123825</xdr:colOff>
      <xdr:row>18</xdr:row>
      <xdr:rowOff>57151</xdr:rowOff>
    </xdr:to>
    <xdr:graphicFrame macro="">
      <xdr:nvGraphicFramePr>
        <xdr:cNvPr id="102" name="Chart 101">
          <a:extLst>
            <a:ext uri="{FF2B5EF4-FFF2-40B4-BE49-F238E27FC236}">
              <a16:creationId xmlns:a16="http://schemas.microsoft.com/office/drawing/2014/main" id="{11FE27ED-5C9E-48EA-8076-1AF5B6E2C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352424</xdr:colOff>
      <xdr:row>9</xdr:row>
      <xdr:rowOff>28574</xdr:rowOff>
    </xdr:from>
    <xdr:to>
      <xdr:col>14</xdr:col>
      <xdr:colOff>552449</xdr:colOff>
      <xdr:row>10</xdr:row>
      <xdr:rowOff>123824</xdr:rowOff>
    </xdr:to>
    <xdr:sp macro="" textlink="">
      <xdr:nvSpPr>
        <xdr:cNvPr id="103" name="TextBox 102">
          <a:extLst>
            <a:ext uri="{FF2B5EF4-FFF2-40B4-BE49-F238E27FC236}">
              <a16:creationId xmlns:a16="http://schemas.microsoft.com/office/drawing/2014/main" id="{3A0E7519-DF8F-45E6-946D-60D4D1DC87EA}"/>
            </a:ext>
          </a:extLst>
        </xdr:cNvPr>
        <xdr:cNvSpPr txBox="1"/>
      </xdr:nvSpPr>
      <xdr:spPr>
        <a:xfrm>
          <a:off x="7058024" y="1743074"/>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Regions</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238124</xdr:colOff>
      <xdr:row>10</xdr:row>
      <xdr:rowOff>28574</xdr:rowOff>
    </xdr:from>
    <xdr:to>
      <xdr:col>14</xdr:col>
      <xdr:colOff>590549</xdr:colOff>
      <xdr:row>11</xdr:row>
      <xdr:rowOff>95249</xdr:rowOff>
    </xdr:to>
    <xdr:sp macro="" textlink="">
      <xdr:nvSpPr>
        <xdr:cNvPr id="104" name="TextBox 103">
          <a:extLst>
            <a:ext uri="{FF2B5EF4-FFF2-40B4-BE49-F238E27FC236}">
              <a16:creationId xmlns:a16="http://schemas.microsoft.com/office/drawing/2014/main" id="{6621FC8F-3EB0-4956-B72D-556AE97F7828}"/>
            </a:ext>
          </a:extLst>
        </xdr:cNvPr>
        <xdr:cNvSpPr txBox="1"/>
      </xdr:nvSpPr>
      <xdr:spPr>
        <a:xfrm>
          <a:off x="6943724" y="1933574"/>
          <a:ext cx="2181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65000"/>
                </a:schemeClr>
              </a:solidFill>
              <a:latin typeface="Segoe UI Semibold" panose="020B0702040204020203" pitchFamily="34" charset="0"/>
              <a:cs typeface="Segoe UI Semibold" panose="020B0702040204020203" pitchFamily="34" charset="0"/>
            </a:rPr>
            <a:t>Employees by Regions</a:t>
          </a:r>
        </a:p>
      </xdr:txBody>
    </xdr:sp>
    <xdr:clientData/>
  </xdr:twoCellAnchor>
  <xdr:twoCellAnchor>
    <xdr:from>
      <xdr:col>11</xdr:col>
      <xdr:colOff>238124</xdr:colOff>
      <xdr:row>2</xdr:row>
      <xdr:rowOff>180975</xdr:rowOff>
    </xdr:from>
    <xdr:to>
      <xdr:col>13</xdr:col>
      <xdr:colOff>38100</xdr:colOff>
      <xdr:row>7</xdr:row>
      <xdr:rowOff>123826</xdr:rowOff>
    </xdr:to>
    <xdr:sp macro="" textlink="'Pivot Table'!AA17">
      <xdr:nvSpPr>
        <xdr:cNvPr id="105" name="TextBox 104">
          <a:extLst>
            <a:ext uri="{FF2B5EF4-FFF2-40B4-BE49-F238E27FC236}">
              <a16:creationId xmlns:a16="http://schemas.microsoft.com/office/drawing/2014/main" id="{4C382B8D-7645-4BB6-83C6-A80BA87A75D3}"/>
            </a:ext>
          </a:extLst>
        </xdr:cNvPr>
        <xdr:cNvSpPr txBox="1"/>
      </xdr:nvSpPr>
      <xdr:spPr>
        <a:xfrm>
          <a:off x="6943724" y="561975"/>
          <a:ext cx="1019176"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A97C93-CC50-4C1E-973A-9E0B227CB0EE}" type="TxLink">
            <a:rPr lang="en-US" sz="4800" b="1" i="0" u="none" strike="noStrike">
              <a:solidFill>
                <a:schemeClr val="bg1"/>
              </a:solidFill>
              <a:latin typeface="Segoe UI Semibold" panose="020B0702040204020203" pitchFamily="34" charset="0"/>
              <a:cs typeface="Segoe UI Semibold" panose="020B0702040204020203" pitchFamily="34" charset="0"/>
            </a:rPr>
            <a:t>2.6</a:t>
          </a:fld>
          <a:endParaRPr lang="en-US" sz="48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228599</xdr:colOff>
      <xdr:row>7</xdr:row>
      <xdr:rowOff>19050</xdr:rowOff>
    </xdr:from>
    <xdr:to>
      <xdr:col>14</xdr:col>
      <xdr:colOff>176212</xdr:colOff>
      <xdr:row>8</xdr:row>
      <xdr:rowOff>85725</xdr:rowOff>
    </xdr:to>
    <xdr:sp macro="" textlink="">
      <xdr:nvSpPr>
        <xdr:cNvPr id="106" name="TextBox 105">
          <a:extLst>
            <a:ext uri="{FF2B5EF4-FFF2-40B4-BE49-F238E27FC236}">
              <a16:creationId xmlns:a16="http://schemas.microsoft.com/office/drawing/2014/main" id="{AD214DCF-9D3A-497D-8B0A-8CF3D3481996}"/>
            </a:ext>
          </a:extLst>
        </xdr:cNvPr>
        <xdr:cNvSpPr txBox="1"/>
      </xdr:nvSpPr>
      <xdr:spPr>
        <a:xfrm>
          <a:off x="6934199" y="1352550"/>
          <a:ext cx="1776413"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latin typeface="Segoe UI Semibold" panose="020B0702040204020203" pitchFamily="34" charset="0"/>
              <a:cs typeface="Segoe UI Semibold" panose="020B0702040204020203" pitchFamily="34" charset="0"/>
            </a:rPr>
            <a:t>Average</a:t>
          </a:r>
          <a:r>
            <a:rPr lang="en-US" sz="1100" baseline="0">
              <a:solidFill>
                <a:schemeClr val="bg1">
                  <a:lumMod val="85000"/>
                </a:schemeClr>
              </a:solidFill>
              <a:latin typeface="Segoe UI Semibold" panose="020B0702040204020203" pitchFamily="34" charset="0"/>
              <a:cs typeface="Segoe UI Semibold" panose="020B0702040204020203" pitchFamily="34" charset="0"/>
            </a:rPr>
            <a:t> Rating</a:t>
          </a:r>
          <a:endParaRPr lang="en-US" sz="1100">
            <a:solidFill>
              <a:schemeClr val="bg1">
                <a:lumMod val="8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285749</xdr:colOff>
      <xdr:row>0</xdr:row>
      <xdr:rowOff>171450</xdr:rowOff>
    </xdr:from>
    <xdr:to>
      <xdr:col>14</xdr:col>
      <xdr:colOff>485774</xdr:colOff>
      <xdr:row>2</xdr:row>
      <xdr:rowOff>76200</xdr:rowOff>
    </xdr:to>
    <xdr:sp macro="" textlink="">
      <xdr:nvSpPr>
        <xdr:cNvPr id="107" name="TextBox 106">
          <a:extLst>
            <a:ext uri="{FF2B5EF4-FFF2-40B4-BE49-F238E27FC236}">
              <a16:creationId xmlns:a16="http://schemas.microsoft.com/office/drawing/2014/main" id="{12A768B8-B625-4791-9780-E1D45EEAF5CE}"/>
            </a:ext>
          </a:extLst>
        </xdr:cNvPr>
        <xdr:cNvSpPr txBox="1"/>
      </xdr:nvSpPr>
      <xdr:spPr>
        <a:xfrm>
          <a:off x="6991349" y="171450"/>
          <a:ext cx="2028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aseline="0">
              <a:solidFill>
                <a:srgbClr val="FFC000"/>
              </a:solidFill>
              <a:latin typeface="Segoe UI Semibold" panose="020B0702040204020203" pitchFamily="34" charset="0"/>
              <a:cs typeface="Segoe UI Semibold" panose="020B0702040204020203" pitchFamily="34" charset="0"/>
            </a:rPr>
            <a:t>Performance Rating</a:t>
          </a:r>
        </a:p>
        <a:p>
          <a:endParaRPr lang="en-US" sz="1300">
            <a:solidFill>
              <a:srgbClr val="FFC000"/>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180975</xdr:colOff>
      <xdr:row>2</xdr:row>
      <xdr:rowOff>28574</xdr:rowOff>
    </xdr:from>
    <xdr:to>
      <xdr:col>14</xdr:col>
      <xdr:colOff>533400</xdr:colOff>
      <xdr:row>3</xdr:row>
      <xdr:rowOff>95249</xdr:rowOff>
    </xdr:to>
    <xdr:sp macro="" textlink="">
      <xdr:nvSpPr>
        <xdr:cNvPr id="109" name="TextBox 108">
          <a:extLst>
            <a:ext uri="{FF2B5EF4-FFF2-40B4-BE49-F238E27FC236}">
              <a16:creationId xmlns:a16="http://schemas.microsoft.com/office/drawing/2014/main" id="{7A4CFB44-A9DA-4AF7-A921-8322F3F0F7ED}"/>
            </a:ext>
          </a:extLst>
        </xdr:cNvPr>
        <xdr:cNvSpPr txBox="1"/>
      </xdr:nvSpPr>
      <xdr:spPr>
        <a:xfrm>
          <a:off x="6886575" y="409574"/>
          <a:ext cx="2181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solidFill>
                <a:schemeClr val="bg1">
                  <a:lumMod val="65000"/>
                </a:schemeClr>
              </a:solidFill>
              <a:latin typeface="Segoe UI Semibold" panose="020B0702040204020203" pitchFamily="34" charset="0"/>
              <a:cs typeface="Segoe UI Semibold" panose="020B0702040204020203" pitchFamily="34" charset="0"/>
            </a:rPr>
            <a:t>Average performance ratings</a:t>
          </a:r>
          <a:endParaRPr lang="en-US" sz="100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11</xdr:col>
      <xdr:colOff>276225</xdr:colOff>
      <xdr:row>1</xdr:row>
      <xdr:rowOff>114301</xdr:rowOff>
    </xdr:from>
    <xdr:to>
      <xdr:col>11</xdr:col>
      <xdr:colOff>342900</xdr:colOff>
      <xdr:row>1</xdr:row>
      <xdr:rowOff>171450</xdr:rowOff>
    </xdr:to>
    <xdr:sp macro="" textlink="">
      <xdr:nvSpPr>
        <xdr:cNvPr id="110" name="Oval 109">
          <a:extLst>
            <a:ext uri="{FF2B5EF4-FFF2-40B4-BE49-F238E27FC236}">
              <a16:creationId xmlns:a16="http://schemas.microsoft.com/office/drawing/2014/main" id="{02D1FEC5-9D41-80A1-7B2C-4EF1DA56260B}"/>
            </a:ext>
          </a:extLst>
        </xdr:cNvPr>
        <xdr:cNvSpPr/>
      </xdr:nvSpPr>
      <xdr:spPr>
        <a:xfrm>
          <a:off x="6981825" y="304801"/>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342900</xdr:colOff>
      <xdr:row>9</xdr:row>
      <xdr:rowOff>180975</xdr:rowOff>
    </xdr:from>
    <xdr:to>
      <xdr:col>11</xdr:col>
      <xdr:colOff>409575</xdr:colOff>
      <xdr:row>10</xdr:row>
      <xdr:rowOff>47624</xdr:rowOff>
    </xdr:to>
    <xdr:sp macro="" textlink="">
      <xdr:nvSpPr>
        <xdr:cNvPr id="111" name="Oval 110">
          <a:extLst>
            <a:ext uri="{FF2B5EF4-FFF2-40B4-BE49-F238E27FC236}">
              <a16:creationId xmlns:a16="http://schemas.microsoft.com/office/drawing/2014/main" id="{F60732EC-4BE8-43D7-95BB-19E7056BA618}"/>
            </a:ext>
          </a:extLst>
        </xdr:cNvPr>
        <xdr:cNvSpPr/>
      </xdr:nvSpPr>
      <xdr:spPr>
        <a:xfrm>
          <a:off x="7048500" y="1895475"/>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190500</xdr:colOff>
      <xdr:row>19</xdr:row>
      <xdr:rowOff>66675</xdr:rowOff>
    </xdr:from>
    <xdr:to>
      <xdr:col>11</xdr:col>
      <xdr:colOff>257175</xdr:colOff>
      <xdr:row>19</xdr:row>
      <xdr:rowOff>123824</xdr:rowOff>
    </xdr:to>
    <xdr:sp macro="" textlink="">
      <xdr:nvSpPr>
        <xdr:cNvPr id="112" name="Oval 111">
          <a:extLst>
            <a:ext uri="{FF2B5EF4-FFF2-40B4-BE49-F238E27FC236}">
              <a16:creationId xmlns:a16="http://schemas.microsoft.com/office/drawing/2014/main" id="{9791F07B-2D80-40E8-938F-8C7971F43387}"/>
            </a:ext>
          </a:extLst>
        </xdr:cNvPr>
        <xdr:cNvSpPr/>
      </xdr:nvSpPr>
      <xdr:spPr>
        <a:xfrm>
          <a:off x="6896100" y="3686175"/>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333375</xdr:colOff>
      <xdr:row>20</xdr:row>
      <xdr:rowOff>57150</xdr:rowOff>
    </xdr:from>
    <xdr:to>
      <xdr:col>7</xdr:col>
      <xdr:colOff>400050</xdr:colOff>
      <xdr:row>20</xdr:row>
      <xdr:rowOff>114299</xdr:rowOff>
    </xdr:to>
    <xdr:sp macro="" textlink="">
      <xdr:nvSpPr>
        <xdr:cNvPr id="113" name="Oval 112">
          <a:extLst>
            <a:ext uri="{FF2B5EF4-FFF2-40B4-BE49-F238E27FC236}">
              <a16:creationId xmlns:a16="http://schemas.microsoft.com/office/drawing/2014/main" id="{8EA2C987-6F3E-4ACF-A44D-3B5CB3956AA0}"/>
            </a:ext>
          </a:extLst>
        </xdr:cNvPr>
        <xdr:cNvSpPr/>
      </xdr:nvSpPr>
      <xdr:spPr>
        <a:xfrm>
          <a:off x="4600575" y="3867150"/>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361950</xdr:colOff>
      <xdr:row>7</xdr:row>
      <xdr:rowOff>95250</xdr:rowOff>
    </xdr:from>
    <xdr:to>
      <xdr:col>3</xdr:col>
      <xdr:colOff>428625</xdr:colOff>
      <xdr:row>7</xdr:row>
      <xdr:rowOff>152399</xdr:rowOff>
    </xdr:to>
    <xdr:sp macro="" textlink="">
      <xdr:nvSpPr>
        <xdr:cNvPr id="114" name="Oval 113">
          <a:extLst>
            <a:ext uri="{FF2B5EF4-FFF2-40B4-BE49-F238E27FC236}">
              <a16:creationId xmlns:a16="http://schemas.microsoft.com/office/drawing/2014/main" id="{64A60139-26B4-47AD-8ECC-51AFF83DE1F3}"/>
            </a:ext>
          </a:extLst>
        </xdr:cNvPr>
        <xdr:cNvSpPr/>
      </xdr:nvSpPr>
      <xdr:spPr>
        <a:xfrm>
          <a:off x="2190750" y="1428750"/>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381000</xdr:colOff>
      <xdr:row>20</xdr:row>
      <xdr:rowOff>114300</xdr:rowOff>
    </xdr:from>
    <xdr:to>
      <xdr:col>3</xdr:col>
      <xdr:colOff>447675</xdr:colOff>
      <xdr:row>20</xdr:row>
      <xdr:rowOff>171449</xdr:rowOff>
    </xdr:to>
    <xdr:sp macro="" textlink="">
      <xdr:nvSpPr>
        <xdr:cNvPr id="115" name="Oval 114">
          <a:extLst>
            <a:ext uri="{FF2B5EF4-FFF2-40B4-BE49-F238E27FC236}">
              <a16:creationId xmlns:a16="http://schemas.microsoft.com/office/drawing/2014/main" id="{7370E176-FD6A-4BC0-9387-58D9B4D2CE73}"/>
            </a:ext>
          </a:extLst>
        </xdr:cNvPr>
        <xdr:cNvSpPr/>
      </xdr:nvSpPr>
      <xdr:spPr>
        <a:xfrm>
          <a:off x="2209800" y="3924300"/>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23</xdr:row>
      <xdr:rowOff>47625</xdr:rowOff>
    </xdr:from>
    <xdr:to>
      <xdr:col>0</xdr:col>
      <xdr:colOff>276225</xdr:colOff>
      <xdr:row>23</xdr:row>
      <xdr:rowOff>104774</xdr:rowOff>
    </xdr:to>
    <xdr:sp macro="" textlink="">
      <xdr:nvSpPr>
        <xdr:cNvPr id="116" name="Oval 115">
          <a:extLst>
            <a:ext uri="{FF2B5EF4-FFF2-40B4-BE49-F238E27FC236}">
              <a16:creationId xmlns:a16="http://schemas.microsoft.com/office/drawing/2014/main" id="{D54ED23B-384F-4903-B393-304650FAFB31}"/>
            </a:ext>
          </a:extLst>
        </xdr:cNvPr>
        <xdr:cNvSpPr/>
      </xdr:nvSpPr>
      <xdr:spPr>
        <a:xfrm>
          <a:off x="209550" y="4429125"/>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371475</xdr:colOff>
      <xdr:row>7</xdr:row>
      <xdr:rowOff>85725</xdr:rowOff>
    </xdr:from>
    <xdr:to>
      <xdr:col>7</xdr:col>
      <xdr:colOff>438150</xdr:colOff>
      <xdr:row>7</xdr:row>
      <xdr:rowOff>142874</xdr:rowOff>
    </xdr:to>
    <xdr:sp macro="" textlink="">
      <xdr:nvSpPr>
        <xdr:cNvPr id="117" name="Oval 116">
          <a:extLst>
            <a:ext uri="{FF2B5EF4-FFF2-40B4-BE49-F238E27FC236}">
              <a16:creationId xmlns:a16="http://schemas.microsoft.com/office/drawing/2014/main" id="{4B0FF49E-853D-4809-ADCF-45F57851BCCA}"/>
            </a:ext>
          </a:extLst>
        </xdr:cNvPr>
        <xdr:cNvSpPr/>
      </xdr:nvSpPr>
      <xdr:spPr>
        <a:xfrm>
          <a:off x="4638675" y="1419225"/>
          <a:ext cx="66675" cy="5714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371475</xdr:colOff>
      <xdr:row>7</xdr:row>
      <xdr:rowOff>95250</xdr:rowOff>
    </xdr:from>
    <xdr:to>
      <xdr:col>3</xdr:col>
      <xdr:colOff>52275</xdr:colOff>
      <xdr:row>12</xdr:row>
      <xdr:rowOff>42750</xdr:rowOff>
    </xdr:to>
    <xdr:pic>
      <xdr:nvPicPr>
        <xdr:cNvPr id="121" name="Picture 120">
          <a:extLst>
            <a:ext uri="{FF2B5EF4-FFF2-40B4-BE49-F238E27FC236}">
              <a16:creationId xmlns:a16="http://schemas.microsoft.com/office/drawing/2014/main" id="{ACAB14A1-A712-45A1-7328-0D8BC57C6184}"/>
            </a:ext>
          </a:extLst>
        </xdr:cNvPr>
        <xdr:cNvPicPr>
          <a:picLocks noChangeAspect="1"/>
        </xdr:cNvPicPr>
      </xdr:nvPicPr>
      <xdr:blipFill>
        <a:blip xmlns:r="http://schemas.openxmlformats.org/officeDocument/2006/relationships" r:embed="rId10">
          <a:extLst>
            <a:ext uri="{BEBA8EAE-BF5A-486C-A8C5-ECC9F3942E4B}">
              <a14:imgProps xmlns:a14="http://schemas.microsoft.com/office/drawing/2010/main">
                <a14:imgLayer r:embed="rId11">
                  <a14:imgEffect>
                    <a14:artisticPhotocopy/>
                  </a14:imgEffect>
                </a14:imgLayer>
              </a14:imgProps>
            </a:ext>
            <a:ext uri="{28A0092B-C50C-407E-A947-70E740481C1C}">
              <a14:useLocalDpi xmlns:a14="http://schemas.microsoft.com/office/drawing/2010/main" val="0"/>
            </a:ext>
          </a:extLst>
        </a:blip>
        <a:stretch>
          <a:fillRect/>
        </a:stretch>
      </xdr:blipFill>
      <xdr:spPr>
        <a:xfrm>
          <a:off x="981075" y="1428750"/>
          <a:ext cx="900000" cy="900000"/>
        </a:xfrm>
        <a:prstGeom prst="rect">
          <a:avLst/>
        </a:prstGeom>
        <a:noFill/>
      </xdr:spPr>
    </xdr:pic>
    <xdr:clientData/>
  </xdr:twoCellAnchor>
  <xdr:twoCellAnchor editAs="oneCell">
    <xdr:from>
      <xdr:col>5</xdr:col>
      <xdr:colOff>371475</xdr:colOff>
      <xdr:row>8</xdr:row>
      <xdr:rowOff>9525</xdr:rowOff>
    </xdr:from>
    <xdr:to>
      <xdr:col>7</xdr:col>
      <xdr:colOff>52275</xdr:colOff>
      <xdr:row>12</xdr:row>
      <xdr:rowOff>147525</xdr:rowOff>
    </xdr:to>
    <xdr:pic>
      <xdr:nvPicPr>
        <xdr:cNvPr id="123" name="Picture 122">
          <a:extLst>
            <a:ext uri="{FF2B5EF4-FFF2-40B4-BE49-F238E27FC236}">
              <a16:creationId xmlns:a16="http://schemas.microsoft.com/office/drawing/2014/main" id="{9FFF9389-59B0-8E56-0AAF-8706E004268B}"/>
            </a:ext>
          </a:extLst>
        </xdr:cNvPr>
        <xdr:cNvPicPr>
          <a:picLocks noChangeAspect="1"/>
        </xdr:cNvPicPr>
      </xdr:nvPicPr>
      <xdr:blipFill>
        <a:blip xmlns:r="http://schemas.openxmlformats.org/officeDocument/2006/relationships" r:embed="rId12">
          <a:extLst>
            <a:ext uri="{BEBA8EAE-BF5A-486C-A8C5-ECC9F3942E4B}">
              <a14:imgProps xmlns:a14="http://schemas.microsoft.com/office/drawing/2010/main">
                <a14:imgLayer r:embed="rId13">
                  <a14:imgEffect>
                    <a14:artisticPhotocopy/>
                  </a14:imgEffect>
                </a14:imgLayer>
              </a14:imgProps>
            </a:ext>
            <a:ext uri="{28A0092B-C50C-407E-A947-70E740481C1C}">
              <a14:useLocalDpi xmlns:a14="http://schemas.microsoft.com/office/drawing/2010/main" val="0"/>
            </a:ext>
          </a:extLst>
        </a:blip>
        <a:stretch>
          <a:fillRect/>
        </a:stretch>
      </xdr:blipFill>
      <xdr:spPr>
        <a:xfrm>
          <a:off x="3419475" y="1533525"/>
          <a:ext cx="900000" cy="900000"/>
        </a:xfrm>
        <a:prstGeom prst="rect">
          <a:avLst/>
        </a:prstGeom>
      </xdr:spPr>
    </xdr:pic>
    <xdr:clientData/>
  </xdr:twoCellAnchor>
  <xdr:twoCellAnchor editAs="oneCell">
    <xdr:from>
      <xdr:col>13</xdr:col>
      <xdr:colOff>219075</xdr:colOff>
      <xdr:row>3</xdr:row>
      <xdr:rowOff>133350</xdr:rowOff>
    </xdr:from>
    <xdr:to>
      <xdr:col>14</xdr:col>
      <xdr:colOff>509475</xdr:colOff>
      <xdr:row>8</xdr:row>
      <xdr:rowOff>80850</xdr:rowOff>
    </xdr:to>
    <xdr:pic>
      <xdr:nvPicPr>
        <xdr:cNvPr id="127" name="Picture 126">
          <a:extLst>
            <a:ext uri="{FF2B5EF4-FFF2-40B4-BE49-F238E27FC236}">
              <a16:creationId xmlns:a16="http://schemas.microsoft.com/office/drawing/2014/main" id="{E6BFDF0B-7779-974A-71E9-FE2E386D6E18}"/>
            </a:ext>
          </a:extLst>
        </xdr:cNvPr>
        <xdr:cNvPicPr>
          <a:picLocks noChangeAspect="1"/>
        </xdr:cNvPicPr>
      </xdr:nvPicPr>
      <xdr:blipFill>
        <a:blip xmlns:r="http://schemas.openxmlformats.org/officeDocument/2006/relationships" r:embed="rId14">
          <a:extLst>
            <a:ext uri="{BEBA8EAE-BF5A-486C-A8C5-ECC9F3942E4B}">
              <a14:imgProps xmlns:a14="http://schemas.microsoft.com/office/drawing/2010/main">
                <a14:imgLayer r:embed="rId15">
                  <a14:imgEffect>
                    <a14:artisticPhotocopy/>
                  </a14:imgEffect>
                </a14:imgLayer>
              </a14:imgProps>
            </a:ext>
            <a:ext uri="{28A0092B-C50C-407E-A947-70E740481C1C}">
              <a14:useLocalDpi xmlns:a14="http://schemas.microsoft.com/office/drawing/2010/main" val="0"/>
            </a:ext>
          </a:extLst>
        </a:blip>
        <a:stretch>
          <a:fillRect/>
        </a:stretch>
      </xdr:blipFill>
      <xdr:spPr>
        <a:xfrm>
          <a:off x="8143875" y="704850"/>
          <a:ext cx="900000" cy="900000"/>
        </a:xfrm>
        <a:prstGeom prst="rect">
          <a:avLst/>
        </a:prstGeom>
      </xdr:spPr>
    </xdr:pic>
    <xdr:clientData/>
  </xdr:twoCellAnchor>
  <xdr:twoCellAnchor>
    <xdr:from>
      <xdr:col>1</xdr:col>
      <xdr:colOff>352425</xdr:colOff>
      <xdr:row>0</xdr:row>
      <xdr:rowOff>76200</xdr:rowOff>
    </xdr:from>
    <xdr:to>
      <xdr:col>5</xdr:col>
      <xdr:colOff>314325</xdr:colOff>
      <xdr:row>6</xdr:row>
      <xdr:rowOff>57150</xdr:rowOff>
    </xdr:to>
    <xdr:sp macro="" textlink="">
      <xdr:nvSpPr>
        <xdr:cNvPr id="128" name="TextBox 127">
          <a:extLst>
            <a:ext uri="{FF2B5EF4-FFF2-40B4-BE49-F238E27FC236}">
              <a16:creationId xmlns:a16="http://schemas.microsoft.com/office/drawing/2014/main" id="{751629EA-F530-4B12-BF0E-A7E79EE96C5A}"/>
            </a:ext>
          </a:extLst>
        </xdr:cNvPr>
        <xdr:cNvSpPr txBox="1"/>
      </xdr:nvSpPr>
      <xdr:spPr>
        <a:xfrm>
          <a:off x="962025" y="76200"/>
          <a:ext cx="2400300" cy="11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FFC000"/>
              </a:solidFill>
              <a:latin typeface="Segoe UI Semibold" panose="020B0702040204020203" pitchFamily="34" charset="0"/>
              <a:cs typeface="Segoe UI Semibold" panose="020B0702040204020203" pitchFamily="34" charset="0"/>
            </a:rPr>
            <a:t>HR</a:t>
          </a:r>
        </a:p>
        <a:p>
          <a:r>
            <a:rPr lang="en-US" sz="2000" b="1">
              <a:solidFill>
                <a:srgbClr val="FFC000"/>
              </a:solidFill>
              <a:latin typeface="Segoe UI Semibold" panose="020B0702040204020203" pitchFamily="34" charset="0"/>
              <a:cs typeface="Segoe UI Semibold" panose="020B0702040204020203" pitchFamily="34" charset="0"/>
            </a:rPr>
            <a:t>Dashboard</a:t>
          </a:r>
        </a:p>
      </xdr:txBody>
    </xdr:sp>
    <xdr:clientData/>
  </xdr:twoCellAnchor>
  <xdr:twoCellAnchor editAs="oneCell">
    <xdr:from>
      <xdr:col>0</xdr:col>
      <xdr:colOff>295275</xdr:colOff>
      <xdr:row>0</xdr:row>
      <xdr:rowOff>47625</xdr:rowOff>
    </xdr:from>
    <xdr:to>
      <xdr:col>1</xdr:col>
      <xdr:colOff>311400</xdr:colOff>
      <xdr:row>3</xdr:row>
      <xdr:rowOff>16125</xdr:rowOff>
    </xdr:to>
    <xdr:pic>
      <xdr:nvPicPr>
        <xdr:cNvPr id="130" name="Picture 129">
          <a:extLst>
            <a:ext uri="{FF2B5EF4-FFF2-40B4-BE49-F238E27FC236}">
              <a16:creationId xmlns:a16="http://schemas.microsoft.com/office/drawing/2014/main" id="{951532EE-283A-B788-01D9-B599550B70AD}"/>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artisticPhotocopy/>
                  </a14:imgEffect>
                </a14:imgLayer>
              </a14:imgProps>
            </a:ext>
            <a:ext uri="{28A0092B-C50C-407E-A947-70E740481C1C}">
              <a14:useLocalDpi xmlns:a14="http://schemas.microsoft.com/office/drawing/2010/main" val="0"/>
            </a:ext>
          </a:extLst>
        </a:blip>
        <a:stretch>
          <a:fillRect/>
        </a:stretch>
      </xdr:blipFill>
      <xdr:spPr>
        <a:xfrm>
          <a:off x="295275" y="47625"/>
          <a:ext cx="625725" cy="540000"/>
        </a:xfrm>
        <a:prstGeom prst="rect">
          <a:avLst/>
        </a:prstGeom>
      </xdr:spPr>
    </xdr:pic>
    <xdr:clientData/>
  </xdr:twoCellAnchor>
  <xdr:twoCellAnchor editAs="oneCell">
    <xdr:from>
      <xdr:col>0</xdr:col>
      <xdr:colOff>333375</xdr:colOff>
      <xdr:row>3</xdr:row>
      <xdr:rowOff>66675</xdr:rowOff>
    </xdr:from>
    <xdr:to>
      <xdr:col>1</xdr:col>
      <xdr:colOff>330450</xdr:colOff>
      <xdr:row>6</xdr:row>
      <xdr:rowOff>35175</xdr:rowOff>
    </xdr:to>
    <xdr:pic>
      <xdr:nvPicPr>
        <xdr:cNvPr id="132" name="Picture 131">
          <a:extLst>
            <a:ext uri="{FF2B5EF4-FFF2-40B4-BE49-F238E27FC236}">
              <a16:creationId xmlns:a16="http://schemas.microsoft.com/office/drawing/2014/main" id="{7032B3C4-3434-1868-F51A-E81DBB4B5397}"/>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artisticPhotocopy/>
                  </a14:imgEffect>
                </a14:imgLayer>
              </a14:imgProps>
            </a:ext>
            <a:ext uri="{28A0092B-C50C-407E-A947-70E740481C1C}">
              <a14:useLocalDpi xmlns:a14="http://schemas.microsoft.com/office/drawing/2010/main" val="0"/>
            </a:ext>
          </a:extLst>
        </a:blip>
        <a:stretch>
          <a:fillRect/>
        </a:stretch>
      </xdr:blipFill>
      <xdr:spPr>
        <a:xfrm>
          <a:off x="333375" y="638175"/>
          <a:ext cx="606675" cy="540000"/>
        </a:xfrm>
        <a:prstGeom prst="rect">
          <a:avLst/>
        </a:prstGeom>
      </xdr:spPr>
    </xdr:pic>
    <xdr:clientData/>
  </xdr:twoCellAnchor>
  <xdr:twoCellAnchor>
    <xdr:from>
      <xdr:col>1</xdr:col>
      <xdr:colOff>361950</xdr:colOff>
      <xdr:row>5</xdr:row>
      <xdr:rowOff>28575</xdr:rowOff>
    </xdr:from>
    <xdr:to>
      <xdr:col>7</xdr:col>
      <xdr:colOff>571500</xdr:colOff>
      <xdr:row>6</xdr:row>
      <xdr:rowOff>95250</xdr:rowOff>
    </xdr:to>
    <xdr:sp macro="" textlink="">
      <xdr:nvSpPr>
        <xdr:cNvPr id="133" name="TextBox 132">
          <a:extLst>
            <a:ext uri="{FF2B5EF4-FFF2-40B4-BE49-F238E27FC236}">
              <a16:creationId xmlns:a16="http://schemas.microsoft.com/office/drawing/2014/main" id="{EF3A125D-5A5D-4CA2-8731-DA5006B24090}"/>
            </a:ext>
          </a:extLst>
        </xdr:cNvPr>
        <xdr:cNvSpPr txBox="1"/>
      </xdr:nvSpPr>
      <xdr:spPr>
        <a:xfrm>
          <a:off x="971550" y="981075"/>
          <a:ext cx="38671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bg1">
                  <a:lumMod val="65000"/>
                </a:schemeClr>
              </a:solidFill>
              <a:latin typeface="Segoe UI Semibold" panose="020B0702040204020203" pitchFamily="34" charset="0"/>
              <a:cs typeface="Segoe UI Semibold" panose="020B0702040204020203" pitchFamily="34" charset="0"/>
            </a:rPr>
            <a:t>Analyze and monitor the HR department</a:t>
          </a:r>
          <a:endParaRPr lang="en-US" sz="1400">
            <a:solidFill>
              <a:schemeClr val="bg1">
                <a:lumMod val="6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19048</xdr:colOff>
      <xdr:row>1</xdr:row>
      <xdr:rowOff>38099</xdr:rowOff>
    </xdr:from>
    <xdr:to>
      <xdr:col>7</xdr:col>
      <xdr:colOff>134248</xdr:colOff>
      <xdr:row>4</xdr:row>
      <xdr:rowOff>186599</xdr:rowOff>
    </xdr:to>
    <mc:AlternateContent xmlns:mc="http://schemas.openxmlformats.org/markup-compatibility/2006">
      <mc:Choice xmlns:a14="http://schemas.microsoft.com/office/drawing/2010/main" Requires="a14">
        <xdr:graphicFrame macro="">
          <xdr:nvGraphicFramePr>
            <xdr:cNvPr id="134" name="Gender 1">
              <a:extLst>
                <a:ext uri="{FF2B5EF4-FFF2-40B4-BE49-F238E27FC236}">
                  <a16:creationId xmlns:a16="http://schemas.microsoft.com/office/drawing/2014/main" id="{1D2E9A70-E1E6-47A6-BFDF-DCC09BF7A00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457448" y="228599"/>
              <a:ext cx="1944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314325</xdr:colOff>
      <xdr:row>1</xdr:row>
      <xdr:rowOff>28575</xdr:rowOff>
    </xdr:from>
    <xdr:to>
      <xdr:col>11</xdr:col>
      <xdr:colOff>95250</xdr:colOff>
      <xdr:row>6</xdr:row>
      <xdr:rowOff>133350</xdr:rowOff>
    </xdr:to>
    <mc:AlternateContent xmlns:mc="http://schemas.openxmlformats.org/markup-compatibility/2006">
      <mc:Choice xmlns:a14="http://schemas.microsoft.com/office/drawing/2010/main" Requires="a14">
        <xdr:graphicFrame macro="">
          <xdr:nvGraphicFramePr>
            <xdr:cNvPr id="135" name="Department 1">
              <a:extLst>
                <a:ext uri="{FF2B5EF4-FFF2-40B4-BE49-F238E27FC236}">
                  <a16:creationId xmlns:a16="http://schemas.microsoft.com/office/drawing/2014/main" id="{DAEA26B0-3FD0-4531-A517-32880DEE90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81525" y="219075"/>
              <a:ext cx="2219325"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Bhatt" refreshedDate="46193.900938078703" createdVersion="8" refreshedVersion="8" minRefreshableVersion="3" recordCount="51" xr:uid="{D8F47274-74F4-450B-86FA-4C3FE504825E}">
  <cacheSource type="worksheet">
    <worksheetSource ref="A1:U1048576" sheet="Data"/>
  </cacheSource>
  <cacheFields count="21">
    <cacheField name="Employee ID" numFmtId="0">
      <sharedItems containsString="0" containsBlank="1" containsNumber="1" containsInteger="1" minValue="1550" maxValue="9968"/>
    </cacheField>
    <cacheField name="Full Name" numFmtId="0">
      <sharedItems containsBlank="1" count="50">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m/>
      </sharedItems>
    </cacheField>
    <cacheField name="Gender" numFmtId="0">
      <sharedItems containsBlank="1" count="3">
        <s v="Female"/>
        <s v="Male"/>
        <m/>
      </sharedItems>
    </cacheField>
    <cacheField name="Age" numFmtId="0">
      <sharedItems containsString="0" containsBlank="1" containsNumber="1" containsInteger="1" minValue="20" maxValue="60"/>
    </cacheField>
    <cacheField name="Age range" numFmtId="0">
      <sharedItems containsBlank="1" count="6">
        <s v="18-25"/>
        <s v="26-35"/>
        <s v="36-45"/>
        <s v="56 &lt;"/>
        <s v="46-55"/>
        <m/>
      </sharedItems>
    </cacheField>
    <cacheField name="Region" numFmtId="0">
      <sharedItems containsBlank="1" count="6">
        <s v="East"/>
        <s v="Central"/>
        <s v="West"/>
        <s v="South"/>
        <s v="North"/>
        <m/>
      </sharedItems>
    </cacheField>
    <cacheField name="Job Title" numFmtId="0">
      <sharedItems containsBlank="1" count="6">
        <s v="Manager"/>
        <s v="Designer"/>
        <s v="HR Specialist"/>
        <s v="Developer"/>
        <s v="Analyst"/>
        <m/>
      </sharedItems>
    </cacheField>
    <cacheField name="Department" numFmtId="0">
      <sharedItems containsBlank="1" count="6">
        <s v="Finance"/>
        <s v="HR"/>
        <s v="Marketing"/>
        <s v="Operations"/>
        <s v="IT"/>
        <m/>
      </sharedItems>
    </cacheField>
    <cacheField name="Manager/Supervisor" numFmtId="0">
      <sharedItems containsBlank="1" count="51">
        <s v="Luis Reynolds"/>
        <s v="Ashley Simmons MD"/>
        <s v="Cassandra Duncan"/>
        <s v="Janet Harris"/>
        <s v="Mr. Frank Clay"/>
        <s v="Dorothy Price"/>
        <s v="Michele Sexton"/>
        <s v="Richard Schmidt"/>
        <s v="Teresa Pearson"/>
        <s v="Laura Hart"/>
        <s v="Andrea May"/>
        <s v="Casey Martin"/>
        <s v="Amber Allen"/>
        <s v="Adam Johnson"/>
        <s v="Nicole Dominguez"/>
        <s v="Andrew Best"/>
        <s v="Gabrielle Rodriguez"/>
        <s v="Allison Harvey"/>
        <s v="Tristan Mejia"/>
        <s v="Mary Welch"/>
        <s v="Douglas Miles"/>
        <s v="Jessica Fleming"/>
        <s v="Christine Lee"/>
        <s v="Mario Smith DVM"/>
        <s v="Joseph Francis"/>
        <s v="Sarah Young"/>
        <s v="Aaron Hart"/>
        <s v="Brian Boyd"/>
        <s v="Steven Krueger"/>
        <s v="Debra Williams"/>
        <s v="Karen Mitchell"/>
        <s v="Joseph Sanders"/>
        <s v="Shelly George"/>
        <s v="Nicole Houston"/>
        <s v="Kristin Shaffer"/>
        <s v="Joel Aguilar"/>
        <s v="Michael Wade"/>
        <s v="Jessica Walsh"/>
        <s v="Kelly Mack"/>
        <s v="John Conley"/>
        <s v="Aaron Baker"/>
        <s v="Christopher Bass"/>
        <s v="Sean Tucker PhD"/>
        <s v="Jacob Scott"/>
        <s v="Joel Park"/>
        <s v="Russell Marshall"/>
        <s v="James Holden"/>
        <s v="Thomas Murphy"/>
        <s v="Mark Abbott"/>
        <s v="Robin Lynch"/>
        <m/>
      </sharedItems>
    </cacheField>
    <cacheField name="Date of Hire" numFmtId="0">
      <sharedItems containsBlank="1"/>
    </cacheField>
    <cacheField name="Employment Status" numFmtId="0">
      <sharedItems containsBlank="1" count="4">
        <s v="Full-Time"/>
        <s v="Contract"/>
        <s v="Part-Time"/>
        <m/>
      </sharedItems>
    </cacheField>
    <cacheField name="Work Location" numFmtId="0">
      <sharedItems containsBlank="1" count="4">
        <s v="Head Office"/>
        <s v="Branch Office"/>
        <s v="Remote"/>
        <m/>
      </sharedItems>
    </cacheField>
    <cacheField name="Salary" numFmtId="0">
      <sharedItems containsString="0" containsBlank="1" containsNumber="1" containsInteger="1" minValue="30137" maxValue="98961"/>
    </cacheField>
    <cacheField name="Pay Grade" numFmtId="0">
      <sharedItems containsBlank="1"/>
    </cacheField>
    <cacheField name="Bonus/Allowances" numFmtId="0">
      <sharedItems containsString="0" containsBlank="1" containsNumber="1" containsInteger="1" minValue="1024" maxValue="9911"/>
    </cacheField>
    <cacheField name="Insurance Details" numFmtId="0">
      <sharedItems containsBlank="1"/>
    </cacheField>
    <cacheField name="Leave Taken" numFmtId="0">
      <sharedItems containsString="0" containsBlank="1" containsNumber="1" containsInteger="1" minValue="0" maxValue="20"/>
    </cacheField>
    <cacheField name="Performance Rating" numFmtId="0">
      <sharedItems containsString="0" containsBlank="1" containsNumber="1" containsInteger="1" minValue="1" maxValue="5" count="6">
        <n v="1"/>
        <n v="4"/>
        <n v="2"/>
        <n v="3"/>
        <n v="5"/>
        <m/>
      </sharedItems>
    </cacheField>
    <cacheField name="Training Programs Attended" numFmtId="0">
      <sharedItems containsBlank="1"/>
    </cacheField>
    <cacheField name="Skills" numFmtId="0">
      <sharedItems containsBlank="1" count="6">
        <s v="Design"/>
        <s v="Management"/>
        <s v="Python"/>
        <s v="Communication"/>
        <s v="Excel"/>
        <m/>
      </sharedItems>
    </cacheField>
    <cacheField name="Certifications" numFmtId="0">
      <sharedItems containsBlank="1"/>
    </cacheField>
  </cacheFields>
  <extLst>
    <ext xmlns:x14="http://schemas.microsoft.com/office/spreadsheetml/2009/9/main" uri="{725AE2AE-9491-48be-B2B4-4EB974FC3084}">
      <x14:pivotCacheDefinition pivotCacheId="1183619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4294"/>
    <x v="0"/>
    <x v="0"/>
    <n v="25"/>
    <x v="0"/>
    <x v="0"/>
    <x v="0"/>
    <x v="0"/>
    <x v="0"/>
    <s v="2019-03-15"/>
    <x v="0"/>
    <x v="0"/>
    <n v="53700"/>
    <s v="C"/>
    <n v="1463"/>
    <s v="Health"/>
    <n v="1"/>
    <x v="0"/>
    <s v="Leadership Training"/>
    <x v="0"/>
    <s v="Certified Professional"/>
  </r>
  <r>
    <n v="9116"/>
    <x v="1"/>
    <x v="1"/>
    <n v="27"/>
    <x v="1"/>
    <x v="1"/>
    <x v="1"/>
    <x v="1"/>
    <x v="1"/>
    <s v="2022-12-20"/>
    <x v="0"/>
    <x v="1"/>
    <n v="91091"/>
    <s v="B"/>
    <n v="1024"/>
    <s v="None"/>
    <n v="19"/>
    <x v="1"/>
    <s v="Excel Workshop"/>
    <x v="0"/>
    <s v="Certified Professional"/>
  </r>
  <r>
    <n v="5120"/>
    <x v="2"/>
    <x v="1"/>
    <n v="34"/>
    <x v="1"/>
    <x v="2"/>
    <x v="2"/>
    <x v="2"/>
    <x v="2"/>
    <s v="2022-08-10"/>
    <x v="0"/>
    <x v="2"/>
    <n v="57538"/>
    <s v="D"/>
    <n v="1674"/>
    <s v="None"/>
    <n v="8"/>
    <x v="0"/>
    <s v="None"/>
    <x v="1"/>
    <s v="Advanced Training"/>
  </r>
  <r>
    <n v="8071"/>
    <x v="3"/>
    <x v="0"/>
    <n v="41"/>
    <x v="2"/>
    <x v="2"/>
    <x v="0"/>
    <x v="3"/>
    <x v="3"/>
    <s v="2024-09-03"/>
    <x v="1"/>
    <x v="0"/>
    <n v="62993"/>
    <s v="A"/>
    <n v="2695"/>
    <s v="Health + Dental"/>
    <n v="0"/>
    <x v="2"/>
    <s v="None"/>
    <x v="2"/>
    <s v="None"/>
  </r>
  <r>
    <n v="9351"/>
    <x v="4"/>
    <x v="1"/>
    <n v="56"/>
    <x v="3"/>
    <x v="0"/>
    <x v="0"/>
    <x v="2"/>
    <x v="4"/>
    <s v="2019-03-14"/>
    <x v="1"/>
    <x v="1"/>
    <n v="45773"/>
    <s v="A"/>
    <n v="8776"/>
    <s v="Health"/>
    <n v="16"/>
    <x v="1"/>
    <s v="Leadership Training"/>
    <x v="2"/>
    <s v="None"/>
  </r>
  <r>
    <n v="2873"/>
    <x v="5"/>
    <x v="0"/>
    <n v="28"/>
    <x v="1"/>
    <x v="2"/>
    <x v="3"/>
    <x v="2"/>
    <x v="5"/>
    <s v="2017-01-23"/>
    <x v="0"/>
    <x v="1"/>
    <n v="96249"/>
    <s v="C"/>
    <n v="4826"/>
    <s v="Health + Dental"/>
    <n v="7"/>
    <x v="3"/>
    <s v="Leadership Training"/>
    <x v="3"/>
    <s v="Certified Professional"/>
  </r>
  <r>
    <n v="3540"/>
    <x v="6"/>
    <x v="0"/>
    <n v="20"/>
    <x v="0"/>
    <x v="1"/>
    <x v="2"/>
    <x v="2"/>
    <x v="6"/>
    <s v="2024-08-17"/>
    <x v="0"/>
    <x v="2"/>
    <n v="61596"/>
    <s v="C"/>
    <n v="8818"/>
    <s v="Health + Dental"/>
    <n v="4"/>
    <x v="2"/>
    <s v="Leadership Training"/>
    <x v="1"/>
    <s v="None"/>
  </r>
  <r>
    <n v="3653"/>
    <x v="7"/>
    <x v="0"/>
    <n v="58"/>
    <x v="3"/>
    <x v="3"/>
    <x v="1"/>
    <x v="4"/>
    <x v="7"/>
    <s v="2014-12-09"/>
    <x v="0"/>
    <x v="2"/>
    <n v="97869"/>
    <s v="A"/>
    <n v="1966"/>
    <s v="Health"/>
    <n v="10"/>
    <x v="0"/>
    <s v="Leadership Training"/>
    <x v="0"/>
    <s v="Certified Professional"/>
  </r>
  <r>
    <n v="5587"/>
    <x v="8"/>
    <x v="0"/>
    <n v="44"/>
    <x v="2"/>
    <x v="3"/>
    <x v="2"/>
    <x v="2"/>
    <x v="8"/>
    <s v="2021-06-28"/>
    <x v="0"/>
    <x v="0"/>
    <n v="81235"/>
    <s v="A"/>
    <n v="6553"/>
    <s v="None"/>
    <n v="16"/>
    <x v="2"/>
    <s v="None"/>
    <x v="1"/>
    <s v="Certified Professional"/>
  </r>
  <r>
    <n v="9554"/>
    <x v="9"/>
    <x v="0"/>
    <n v="29"/>
    <x v="1"/>
    <x v="1"/>
    <x v="2"/>
    <x v="3"/>
    <x v="9"/>
    <s v="2018-05-20"/>
    <x v="0"/>
    <x v="1"/>
    <n v="87852"/>
    <s v="A"/>
    <n v="4980"/>
    <s v="Health + Dental"/>
    <n v="19"/>
    <x v="3"/>
    <s v="None"/>
    <x v="2"/>
    <s v="Certified Professional"/>
  </r>
  <r>
    <n v="6213"/>
    <x v="10"/>
    <x v="1"/>
    <n v="23"/>
    <x v="0"/>
    <x v="3"/>
    <x v="0"/>
    <x v="2"/>
    <x v="10"/>
    <s v="2017-02-13"/>
    <x v="1"/>
    <x v="1"/>
    <n v="59359"/>
    <s v="A"/>
    <n v="9449"/>
    <s v="Health + Dental"/>
    <n v="20"/>
    <x v="3"/>
    <s v="None"/>
    <x v="1"/>
    <s v="None"/>
  </r>
  <r>
    <n v="9105"/>
    <x v="11"/>
    <x v="1"/>
    <n v="30"/>
    <x v="1"/>
    <x v="0"/>
    <x v="1"/>
    <x v="0"/>
    <x v="11"/>
    <s v="2024-05-05"/>
    <x v="1"/>
    <x v="2"/>
    <n v="81225"/>
    <s v="D"/>
    <n v="6202"/>
    <s v="Health + Dental"/>
    <n v="2"/>
    <x v="2"/>
    <s v="Excel Workshop"/>
    <x v="4"/>
    <s v="Certified Professional"/>
  </r>
  <r>
    <n v="9508"/>
    <x v="12"/>
    <x v="0"/>
    <n v="49"/>
    <x v="4"/>
    <x v="1"/>
    <x v="0"/>
    <x v="0"/>
    <x v="12"/>
    <s v="2022-04-19"/>
    <x v="1"/>
    <x v="0"/>
    <n v="32788"/>
    <s v="D"/>
    <n v="4396"/>
    <s v="Health"/>
    <n v="13"/>
    <x v="4"/>
    <s v="None"/>
    <x v="3"/>
    <s v="Advanced Training"/>
  </r>
  <r>
    <n v="2436"/>
    <x v="13"/>
    <x v="1"/>
    <n v="60"/>
    <x v="3"/>
    <x v="4"/>
    <x v="0"/>
    <x v="3"/>
    <x v="13"/>
    <s v="2015-11-16"/>
    <x v="1"/>
    <x v="2"/>
    <n v="70452"/>
    <s v="D"/>
    <n v="9911"/>
    <s v="None"/>
    <n v="2"/>
    <x v="0"/>
    <s v="None"/>
    <x v="3"/>
    <s v="Certified Professional"/>
  </r>
  <r>
    <n v="4441"/>
    <x v="14"/>
    <x v="1"/>
    <n v="46"/>
    <x v="4"/>
    <x v="1"/>
    <x v="3"/>
    <x v="0"/>
    <x v="14"/>
    <s v="2023-09-09"/>
    <x v="0"/>
    <x v="1"/>
    <n v="33045"/>
    <s v="B"/>
    <n v="1456"/>
    <s v="None"/>
    <n v="16"/>
    <x v="3"/>
    <s v="Excel Workshop"/>
    <x v="3"/>
    <s v="None"/>
  </r>
  <r>
    <n v="5827"/>
    <x v="15"/>
    <x v="1"/>
    <n v="57"/>
    <x v="3"/>
    <x v="2"/>
    <x v="3"/>
    <x v="1"/>
    <x v="15"/>
    <s v="2017-12-12"/>
    <x v="2"/>
    <x v="2"/>
    <n v="96429"/>
    <s v="C"/>
    <n v="4740"/>
    <s v="None"/>
    <n v="8"/>
    <x v="0"/>
    <s v="Excel Workshop"/>
    <x v="2"/>
    <s v="None"/>
  </r>
  <r>
    <n v="5184"/>
    <x v="16"/>
    <x v="0"/>
    <n v="24"/>
    <x v="0"/>
    <x v="1"/>
    <x v="2"/>
    <x v="2"/>
    <x v="16"/>
    <s v="2017-03-10"/>
    <x v="2"/>
    <x v="2"/>
    <n v="33183"/>
    <s v="A"/>
    <n v="8114"/>
    <s v="None"/>
    <n v="4"/>
    <x v="2"/>
    <s v="Excel Workshop"/>
    <x v="4"/>
    <s v="Advanced Training"/>
  </r>
  <r>
    <n v="5874"/>
    <x v="3"/>
    <x v="0"/>
    <n v="35"/>
    <x v="1"/>
    <x v="4"/>
    <x v="3"/>
    <x v="0"/>
    <x v="17"/>
    <s v="2019-03-04"/>
    <x v="2"/>
    <x v="0"/>
    <n v="75065"/>
    <s v="C"/>
    <n v="7123"/>
    <s v="None"/>
    <n v="20"/>
    <x v="2"/>
    <s v="None"/>
    <x v="0"/>
    <s v="Advanced Training"/>
  </r>
  <r>
    <n v="9834"/>
    <x v="17"/>
    <x v="1"/>
    <n v="41"/>
    <x v="2"/>
    <x v="1"/>
    <x v="1"/>
    <x v="4"/>
    <x v="18"/>
    <s v="2022-11-20"/>
    <x v="0"/>
    <x v="2"/>
    <n v="32877"/>
    <s v="C"/>
    <n v="6432"/>
    <s v="Health"/>
    <n v="11"/>
    <x v="0"/>
    <s v="None"/>
    <x v="0"/>
    <s v="None"/>
  </r>
  <r>
    <n v="5096"/>
    <x v="18"/>
    <x v="1"/>
    <n v="36"/>
    <x v="2"/>
    <x v="1"/>
    <x v="4"/>
    <x v="3"/>
    <x v="19"/>
    <s v="2021-03-02"/>
    <x v="0"/>
    <x v="1"/>
    <n v="46811"/>
    <s v="D"/>
    <n v="1567"/>
    <s v="None"/>
    <n v="7"/>
    <x v="3"/>
    <s v="Excel Workshop"/>
    <x v="0"/>
    <s v="Advanced Training"/>
  </r>
  <r>
    <n v="2263"/>
    <x v="19"/>
    <x v="1"/>
    <n v="31"/>
    <x v="1"/>
    <x v="3"/>
    <x v="2"/>
    <x v="1"/>
    <x v="20"/>
    <s v="2021-08-01"/>
    <x v="1"/>
    <x v="1"/>
    <n v="87538"/>
    <s v="C"/>
    <n v="3588"/>
    <s v="Health + Dental"/>
    <n v="11"/>
    <x v="4"/>
    <s v="Excel Workshop"/>
    <x v="2"/>
    <s v="None"/>
  </r>
  <r>
    <n v="6505"/>
    <x v="20"/>
    <x v="0"/>
    <n v="28"/>
    <x v="1"/>
    <x v="0"/>
    <x v="1"/>
    <x v="4"/>
    <x v="21"/>
    <s v="2015-08-14"/>
    <x v="0"/>
    <x v="1"/>
    <n v="73002"/>
    <s v="C"/>
    <n v="6296"/>
    <s v="Health"/>
    <n v="2"/>
    <x v="4"/>
    <s v="Excel Workshop"/>
    <x v="1"/>
    <s v="Certified Professional"/>
  </r>
  <r>
    <n v="8626"/>
    <x v="21"/>
    <x v="1"/>
    <n v="37"/>
    <x v="2"/>
    <x v="3"/>
    <x v="1"/>
    <x v="3"/>
    <x v="22"/>
    <s v="2015-10-21"/>
    <x v="2"/>
    <x v="2"/>
    <n v="41653"/>
    <s v="D"/>
    <n v="9236"/>
    <s v="None"/>
    <n v="13"/>
    <x v="0"/>
    <s v="Excel Workshop"/>
    <x v="0"/>
    <s v="None"/>
  </r>
  <r>
    <n v="5979"/>
    <x v="22"/>
    <x v="0"/>
    <n v="31"/>
    <x v="1"/>
    <x v="0"/>
    <x v="0"/>
    <x v="2"/>
    <x v="23"/>
    <s v="2015-03-14"/>
    <x v="1"/>
    <x v="1"/>
    <n v="67582"/>
    <s v="A"/>
    <n v="1375"/>
    <s v="Health"/>
    <n v="20"/>
    <x v="3"/>
    <s v="Excel Workshop"/>
    <x v="1"/>
    <s v="None"/>
  </r>
  <r>
    <n v="3104"/>
    <x v="23"/>
    <x v="0"/>
    <n v="23"/>
    <x v="0"/>
    <x v="3"/>
    <x v="1"/>
    <x v="1"/>
    <x v="24"/>
    <s v="2024-05-22"/>
    <x v="2"/>
    <x v="1"/>
    <n v="37351"/>
    <s v="D"/>
    <n v="7858"/>
    <s v="Health + Dental"/>
    <n v="18"/>
    <x v="2"/>
    <s v="Leadership Training"/>
    <x v="1"/>
    <s v="Advanced Training"/>
  </r>
  <r>
    <n v="8967"/>
    <x v="24"/>
    <x v="0"/>
    <n v="48"/>
    <x v="4"/>
    <x v="4"/>
    <x v="2"/>
    <x v="0"/>
    <x v="25"/>
    <s v="2017-03-19"/>
    <x v="0"/>
    <x v="1"/>
    <n v="36721"/>
    <s v="B"/>
    <n v="8820"/>
    <s v="Health + Dental"/>
    <n v="0"/>
    <x v="2"/>
    <s v="Excel Workshop"/>
    <x v="1"/>
    <s v="Certified Professional"/>
  </r>
  <r>
    <n v="5087"/>
    <x v="25"/>
    <x v="1"/>
    <n v="28"/>
    <x v="1"/>
    <x v="2"/>
    <x v="4"/>
    <x v="0"/>
    <x v="26"/>
    <s v="2021-09-15"/>
    <x v="1"/>
    <x v="2"/>
    <n v="46326"/>
    <s v="B"/>
    <n v="9189"/>
    <s v="Health + Dental"/>
    <n v="8"/>
    <x v="1"/>
    <s v="Leadership Training"/>
    <x v="3"/>
    <s v="Advanced Training"/>
  </r>
  <r>
    <n v="3358"/>
    <x v="26"/>
    <x v="1"/>
    <n v="30"/>
    <x v="1"/>
    <x v="1"/>
    <x v="3"/>
    <x v="1"/>
    <x v="27"/>
    <s v="2022-05-09"/>
    <x v="0"/>
    <x v="0"/>
    <n v="59007"/>
    <s v="C"/>
    <n v="3380"/>
    <s v="Health"/>
    <n v="17"/>
    <x v="3"/>
    <s v="None"/>
    <x v="4"/>
    <s v="Certified Professional"/>
  </r>
  <r>
    <n v="8256"/>
    <x v="27"/>
    <x v="1"/>
    <n v="46"/>
    <x v="4"/>
    <x v="3"/>
    <x v="0"/>
    <x v="3"/>
    <x v="28"/>
    <s v="2017-06-22"/>
    <x v="0"/>
    <x v="1"/>
    <n v="52020"/>
    <s v="B"/>
    <n v="9585"/>
    <s v="Health + Dental"/>
    <n v="0"/>
    <x v="1"/>
    <s v="Excel Workshop"/>
    <x v="4"/>
    <s v="None"/>
  </r>
  <r>
    <n v="5763"/>
    <x v="28"/>
    <x v="1"/>
    <n v="44"/>
    <x v="2"/>
    <x v="1"/>
    <x v="2"/>
    <x v="1"/>
    <x v="29"/>
    <s v="2020-11-28"/>
    <x v="2"/>
    <x v="1"/>
    <n v="98961"/>
    <s v="D"/>
    <n v="2688"/>
    <s v="Health"/>
    <n v="2"/>
    <x v="4"/>
    <s v="Excel Workshop"/>
    <x v="4"/>
    <s v="Certified Professional"/>
  </r>
  <r>
    <n v="6838"/>
    <x v="29"/>
    <x v="1"/>
    <n v="45"/>
    <x v="2"/>
    <x v="2"/>
    <x v="3"/>
    <x v="2"/>
    <x v="30"/>
    <s v="2015-08-30"/>
    <x v="2"/>
    <x v="1"/>
    <n v="81943"/>
    <s v="C"/>
    <n v="2255"/>
    <s v="Health"/>
    <n v="18"/>
    <x v="2"/>
    <s v="None"/>
    <x v="2"/>
    <s v="Certified Professional"/>
  </r>
  <r>
    <n v="9544"/>
    <x v="30"/>
    <x v="1"/>
    <n v="52"/>
    <x v="4"/>
    <x v="4"/>
    <x v="2"/>
    <x v="1"/>
    <x v="31"/>
    <s v="2018-10-27"/>
    <x v="2"/>
    <x v="1"/>
    <n v="47627"/>
    <s v="C"/>
    <n v="1221"/>
    <s v="None"/>
    <n v="4"/>
    <x v="3"/>
    <s v="None"/>
    <x v="1"/>
    <s v="None"/>
  </r>
  <r>
    <n v="8012"/>
    <x v="31"/>
    <x v="0"/>
    <n v="52"/>
    <x v="4"/>
    <x v="0"/>
    <x v="0"/>
    <x v="4"/>
    <x v="32"/>
    <s v="2018-08-26"/>
    <x v="2"/>
    <x v="1"/>
    <n v="56162"/>
    <s v="D"/>
    <n v="6560"/>
    <s v="Health + Dental"/>
    <n v="9"/>
    <x v="1"/>
    <s v="Excel Workshop"/>
    <x v="3"/>
    <s v="None"/>
  </r>
  <r>
    <n v="9374"/>
    <x v="32"/>
    <x v="0"/>
    <n v="42"/>
    <x v="2"/>
    <x v="1"/>
    <x v="2"/>
    <x v="2"/>
    <x v="33"/>
    <s v="2023-07-24"/>
    <x v="1"/>
    <x v="2"/>
    <n v="95734"/>
    <s v="C"/>
    <n v="4854"/>
    <s v="Health"/>
    <n v="13"/>
    <x v="2"/>
    <s v="Leadership Training"/>
    <x v="0"/>
    <s v="Certified Professional"/>
  </r>
  <r>
    <n v="3487"/>
    <x v="33"/>
    <x v="1"/>
    <n v="58"/>
    <x v="3"/>
    <x v="1"/>
    <x v="1"/>
    <x v="3"/>
    <x v="34"/>
    <s v="2018-07-09"/>
    <x v="1"/>
    <x v="2"/>
    <n v="74789"/>
    <s v="C"/>
    <n v="8101"/>
    <s v="Health + Dental"/>
    <n v="14"/>
    <x v="4"/>
    <s v="Excel Workshop"/>
    <x v="2"/>
    <s v="None"/>
  </r>
  <r>
    <n v="8445"/>
    <x v="34"/>
    <x v="0"/>
    <n v="24"/>
    <x v="0"/>
    <x v="4"/>
    <x v="0"/>
    <x v="3"/>
    <x v="35"/>
    <s v="2016-12-21"/>
    <x v="0"/>
    <x v="2"/>
    <n v="30137"/>
    <s v="B"/>
    <n v="4031"/>
    <s v="None"/>
    <n v="5"/>
    <x v="3"/>
    <s v="None"/>
    <x v="1"/>
    <s v="Certified Professional"/>
  </r>
  <r>
    <n v="1550"/>
    <x v="35"/>
    <x v="1"/>
    <n v="21"/>
    <x v="0"/>
    <x v="1"/>
    <x v="0"/>
    <x v="0"/>
    <x v="36"/>
    <s v="2019-06-27"/>
    <x v="0"/>
    <x v="2"/>
    <n v="95510"/>
    <s v="C"/>
    <n v="6811"/>
    <s v="Health"/>
    <n v="18"/>
    <x v="1"/>
    <s v="Excel Workshop"/>
    <x v="4"/>
    <s v="Certified Professional"/>
  </r>
  <r>
    <n v="9968"/>
    <x v="36"/>
    <x v="1"/>
    <n v="58"/>
    <x v="3"/>
    <x v="1"/>
    <x v="3"/>
    <x v="0"/>
    <x v="37"/>
    <s v="2021-08-27"/>
    <x v="1"/>
    <x v="0"/>
    <n v="80325"/>
    <s v="B"/>
    <n v="6230"/>
    <s v="Health"/>
    <n v="5"/>
    <x v="1"/>
    <s v="None"/>
    <x v="2"/>
    <s v="Advanced Training"/>
  </r>
  <r>
    <n v="8029"/>
    <x v="37"/>
    <x v="0"/>
    <n v="57"/>
    <x v="3"/>
    <x v="3"/>
    <x v="4"/>
    <x v="4"/>
    <x v="38"/>
    <s v="2017-05-28"/>
    <x v="2"/>
    <x v="1"/>
    <n v="34109"/>
    <s v="B"/>
    <n v="9232"/>
    <s v="Health"/>
    <n v="13"/>
    <x v="3"/>
    <s v="Leadership Training"/>
    <x v="0"/>
    <s v="Certified Professional"/>
  </r>
  <r>
    <n v="8847"/>
    <x v="38"/>
    <x v="1"/>
    <n v="41"/>
    <x v="2"/>
    <x v="3"/>
    <x v="3"/>
    <x v="0"/>
    <x v="39"/>
    <s v="2022-01-30"/>
    <x v="2"/>
    <x v="2"/>
    <n v="73330"/>
    <s v="C"/>
    <n v="2276"/>
    <s v="Health + Dental"/>
    <n v="5"/>
    <x v="0"/>
    <s v="None"/>
    <x v="1"/>
    <s v="Advanced Training"/>
  </r>
  <r>
    <n v="1955"/>
    <x v="39"/>
    <x v="0"/>
    <n v="58"/>
    <x v="3"/>
    <x v="2"/>
    <x v="2"/>
    <x v="1"/>
    <x v="40"/>
    <s v="2017-04-20"/>
    <x v="1"/>
    <x v="2"/>
    <n v="46567"/>
    <s v="A"/>
    <n v="2825"/>
    <s v="Health"/>
    <n v="15"/>
    <x v="3"/>
    <s v="None"/>
    <x v="4"/>
    <s v="Advanced Training"/>
  </r>
  <r>
    <n v="4522"/>
    <x v="40"/>
    <x v="0"/>
    <n v="36"/>
    <x v="2"/>
    <x v="0"/>
    <x v="4"/>
    <x v="0"/>
    <x v="41"/>
    <s v="2019-07-22"/>
    <x v="1"/>
    <x v="1"/>
    <n v="39795"/>
    <s v="A"/>
    <n v="1670"/>
    <s v="None"/>
    <n v="0"/>
    <x v="2"/>
    <s v="Excel Workshop"/>
    <x v="3"/>
    <s v="None"/>
  </r>
  <r>
    <n v="3078"/>
    <x v="41"/>
    <x v="0"/>
    <n v="21"/>
    <x v="0"/>
    <x v="0"/>
    <x v="0"/>
    <x v="4"/>
    <x v="42"/>
    <s v="2018-11-29"/>
    <x v="1"/>
    <x v="2"/>
    <n v="59506"/>
    <s v="A"/>
    <n v="4428"/>
    <s v="Health + Dental"/>
    <n v="0"/>
    <x v="0"/>
    <s v="None"/>
    <x v="3"/>
    <s v="Certified Professional"/>
  </r>
  <r>
    <n v="6357"/>
    <x v="42"/>
    <x v="0"/>
    <n v="46"/>
    <x v="4"/>
    <x v="2"/>
    <x v="1"/>
    <x v="4"/>
    <x v="43"/>
    <s v="2022-11-14"/>
    <x v="1"/>
    <x v="2"/>
    <n v="49058"/>
    <s v="B"/>
    <n v="4396"/>
    <s v="None"/>
    <n v="5"/>
    <x v="0"/>
    <s v="None"/>
    <x v="3"/>
    <s v="None"/>
  </r>
  <r>
    <n v="7951"/>
    <x v="43"/>
    <x v="0"/>
    <n v="36"/>
    <x v="2"/>
    <x v="3"/>
    <x v="2"/>
    <x v="4"/>
    <x v="44"/>
    <s v="2016-02-23"/>
    <x v="1"/>
    <x v="0"/>
    <n v="98612"/>
    <s v="A"/>
    <n v="1168"/>
    <s v="None"/>
    <n v="9"/>
    <x v="2"/>
    <s v="Excel Workshop"/>
    <x v="0"/>
    <s v="Certified Professional"/>
  </r>
  <r>
    <n v="9228"/>
    <x v="44"/>
    <x v="1"/>
    <n v="41"/>
    <x v="2"/>
    <x v="4"/>
    <x v="3"/>
    <x v="1"/>
    <x v="45"/>
    <s v="2018-05-18"/>
    <x v="2"/>
    <x v="1"/>
    <n v="38201"/>
    <s v="A"/>
    <n v="7111"/>
    <s v="Health"/>
    <n v="8"/>
    <x v="1"/>
    <s v="Leadership Training"/>
    <x v="3"/>
    <s v="None"/>
  </r>
  <r>
    <n v="8988"/>
    <x v="45"/>
    <x v="1"/>
    <n v="25"/>
    <x v="0"/>
    <x v="0"/>
    <x v="2"/>
    <x v="2"/>
    <x v="46"/>
    <s v="2024-03-09"/>
    <x v="2"/>
    <x v="1"/>
    <n v="92919"/>
    <s v="D"/>
    <n v="9497"/>
    <s v="Health"/>
    <n v="7"/>
    <x v="2"/>
    <s v="None"/>
    <x v="3"/>
    <s v="Advanced Training"/>
  </r>
  <r>
    <n v="1952"/>
    <x v="46"/>
    <x v="0"/>
    <n v="29"/>
    <x v="1"/>
    <x v="4"/>
    <x v="0"/>
    <x v="1"/>
    <x v="47"/>
    <s v="2024-03-27"/>
    <x v="0"/>
    <x v="2"/>
    <n v="45188"/>
    <s v="A"/>
    <n v="9591"/>
    <s v="Health + Dental"/>
    <n v="18"/>
    <x v="3"/>
    <s v="Leadership Training"/>
    <x v="3"/>
    <s v="None"/>
  </r>
  <r>
    <n v="5760"/>
    <x v="47"/>
    <x v="0"/>
    <n v="59"/>
    <x v="3"/>
    <x v="2"/>
    <x v="1"/>
    <x v="0"/>
    <x v="48"/>
    <s v="2019-12-23"/>
    <x v="0"/>
    <x v="1"/>
    <n v="34927"/>
    <s v="D"/>
    <n v="6996"/>
    <s v="Health + Dental"/>
    <n v="16"/>
    <x v="0"/>
    <s v="Excel Workshop"/>
    <x v="0"/>
    <s v="Certified Professional"/>
  </r>
  <r>
    <n v="5742"/>
    <x v="48"/>
    <x v="0"/>
    <n v="27"/>
    <x v="1"/>
    <x v="0"/>
    <x v="2"/>
    <x v="3"/>
    <x v="49"/>
    <s v="2016-08-25"/>
    <x v="0"/>
    <x v="1"/>
    <n v="33183"/>
    <s v="A"/>
    <n v="1659"/>
    <s v="None"/>
    <n v="11"/>
    <x v="0"/>
    <s v="Leadership Training"/>
    <x v="2"/>
    <s v="None"/>
  </r>
  <r>
    <m/>
    <x v="49"/>
    <x v="2"/>
    <m/>
    <x v="5"/>
    <x v="5"/>
    <x v="5"/>
    <x v="5"/>
    <x v="50"/>
    <m/>
    <x v="3"/>
    <x v="3"/>
    <m/>
    <m/>
    <m/>
    <m/>
    <m/>
    <x v="5"/>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D1697-D747-4DB6-8F37-825659E9AE85}"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3:AA10" firstHeaderRow="1" firstDataRow="1" firstDataCol="1"/>
  <pivotFields count="21">
    <pivotField showAll="0"/>
    <pivotField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items count="7">
        <item x="0"/>
        <item x="1"/>
        <item x="2"/>
        <item x="4"/>
        <item x="3"/>
        <item h="1" x="5"/>
        <item t="default"/>
      </items>
    </pivotField>
    <pivotField showAll="0">
      <items count="7">
        <item x="1"/>
        <item x="0"/>
        <item x="4"/>
        <item x="3"/>
        <item x="2"/>
        <item h="1" x="5"/>
        <item t="default"/>
      </items>
    </pivotField>
    <pivotField showAll="0">
      <items count="7">
        <item x="4"/>
        <item x="1"/>
        <item x="3"/>
        <item x="2"/>
        <item x="0"/>
        <item h="1" x="5"/>
        <item t="default"/>
      </items>
    </pivotField>
    <pivotField axis="axisRow" showAll="0">
      <items count="7">
        <item x="0"/>
        <item x="1"/>
        <item x="4"/>
        <item x="2"/>
        <item x="3"/>
        <item x="5"/>
        <item t="default"/>
      </items>
    </pivotField>
    <pivotField showAll="0">
      <items count="52">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x="50"/>
        <item t="default"/>
      </items>
    </pivotField>
    <pivotField showAll="0"/>
    <pivotField showAll="0">
      <items count="5">
        <item x="1"/>
        <item x="0"/>
        <item x="2"/>
        <item h="1" x="3"/>
        <item t="default"/>
      </items>
    </pivotField>
    <pivotField showAll="0">
      <items count="5">
        <item x="1"/>
        <item x="0"/>
        <item x="2"/>
        <item h="1" x="3"/>
        <item t="default"/>
      </items>
    </pivotField>
    <pivotField showAll="0"/>
    <pivotField showAll="0"/>
    <pivotField showAll="0"/>
    <pivotField showAll="0"/>
    <pivotField showAll="0"/>
    <pivotField dataField="1" showAll="0">
      <items count="7">
        <item x="0"/>
        <item x="2"/>
        <item x="3"/>
        <item x="1"/>
        <item x="4"/>
        <item x="5"/>
        <item t="default"/>
      </items>
    </pivotField>
    <pivotField showAll="0"/>
    <pivotField showAll="0">
      <items count="7">
        <item x="3"/>
        <item x="0"/>
        <item x="4"/>
        <item x="1"/>
        <item x="2"/>
        <item h="1" x="5"/>
        <item t="default"/>
      </items>
    </pivotField>
    <pivotField showAll="0"/>
  </pivotFields>
  <rowFields count="1">
    <field x="7"/>
  </rowFields>
  <rowItems count="7">
    <i>
      <x/>
    </i>
    <i>
      <x v="1"/>
    </i>
    <i>
      <x v="2"/>
    </i>
    <i>
      <x v="3"/>
    </i>
    <i>
      <x v="4"/>
    </i>
    <i>
      <x v="5"/>
    </i>
    <i t="grand">
      <x/>
    </i>
  </rowItems>
  <colItems count="1">
    <i/>
  </colItems>
  <dataFields count="1">
    <dataField name="Average of Performance Rating" fld="17" subtotal="average" baseField="7" baseItem="0"/>
  </dataFields>
  <formats count="1">
    <format dxfId="25">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B95D27-392C-473C-84A3-F5CFE1578E73}"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3:X9" firstHeaderRow="1" firstDataRow="1"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items count="7">
        <item x="0"/>
        <item x="1"/>
        <item x="2"/>
        <item x="4"/>
        <item x="3"/>
        <item h="1" x="5"/>
        <item t="default"/>
      </items>
    </pivotField>
    <pivotField axis="axisRow" showAll="0">
      <items count="7">
        <item x="1"/>
        <item x="0"/>
        <item x="4"/>
        <item x="3"/>
        <item x="2"/>
        <item h="1" x="5"/>
        <item t="default"/>
      </items>
    </pivotField>
    <pivotField showAll="0">
      <items count="7">
        <item x="4"/>
        <item x="1"/>
        <item x="3"/>
        <item x="2"/>
        <item x="0"/>
        <item h="1" x="5"/>
        <item t="default"/>
      </items>
    </pivotField>
    <pivotField showAll="0">
      <items count="7">
        <item x="0"/>
        <item x="1"/>
        <item x="4"/>
        <item x="2"/>
        <item x="3"/>
        <item x="5"/>
        <item t="default"/>
      </items>
    </pivotField>
    <pivotField showAll="0"/>
    <pivotField showAll="0"/>
    <pivotField showAll="0">
      <items count="5">
        <item x="1"/>
        <item x="0"/>
        <item x="2"/>
        <item h="1" x="3"/>
        <item t="default"/>
      </items>
    </pivotField>
    <pivotField showAll="0">
      <items count="5">
        <item x="1"/>
        <item x="0"/>
        <item x="2"/>
        <item h="1" x="3"/>
        <item t="default"/>
      </items>
    </pivotField>
    <pivotField showAll="0"/>
    <pivotField showAll="0"/>
    <pivotField showAll="0"/>
    <pivotField showAll="0"/>
    <pivotField showAll="0"/>
    <pivotField showAll="0"/>
    <pivotField showAll="0"/>
    <pivotField showAll="0">
      <items count="7">
        <item x="3"/>
        <item x="0"/>
        <item x="4"/>
        <item x="1"/>
        <item x="2"/>
        <item h="1" x="5"/>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46CF6-98A8-4B22-800F-624F6FCED32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3:U9" firstHeaderRow="1" firstDataRow="1"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items count="7">
        <item x="0"/>
        <item x="1"/>
        <item x="2"/>
        <item x="4"/>
        <item x="3"/>
        <item h="1" x="5"/>
        <item t="default"/>
      </items>
    </pivotField>
    <pivotField showAll="0"/>
    <pivotField showAll="0">
      <items count="7">
        <item x="4"/>
        <item x="1"/>
        <item x="3"/>
        <item x="2"/>
        <item x="0"/>
        <item h="1" x="5"/>
        <item t="default"/>
      </items>
    </pivotField>
    <pivotField showAll="0">
      <items count="7">
        <item x="0"/>
        <item x="1"/>
        <item x="4"/>
        <item x="2"/>
        <item x="3"/>
        <item x="5"/>
        <item t="default"/>
      </items>
    </pivotField>
    <pivotField showAll="0"/>
    <pivotField showAll="0"/>
    <pivotField showAll="0">
      <items count="5">
        <item x="1"/>
        <item x="0"/>
        <item x="2"/>
        <item h="1" x="3"/>
        <item t="default"/>
      </items>
    </pivotField>
    <pivotField showAll="0">
      <items count="5">
        <item x="1"/>
        <item x="0"/>
        <item x="2"/>
        <item h="1" x="3"/>
        <item t="default"/>
      </items>
    </pivotField>
    <pivotField showAll="0"/>
    <pivotField showAll="0"/>
    <pivotField showAll="0"/>
    <pivotField showAll="0"/>
    <pivotField showAll="0"/>
    <pivotField showAll="0"/>
    <pivotField showAll="0"/>
    <pivotField axis="axisRow" showAll="0">
      <items count="7">
        <item x="3"/>
        <item x="0"/>
        <item x="4"/>
        <item x="1"/>
        <item x="2"/>
        <item h="1" x="5"/>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FFFBA8-B02D-4952-8906-F32570711627}"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7" firstHeaderRow="1" firstDataRow="1"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items count="7">
        <item x="0"/>
        <item x="1"/>
        <item x="2"/>
        <item x="4"/>
        <item x="3"/>
        <item h="1" x="5"/>
        <item t="default"/>
      </items>
    </pivotField>
    <pivotField showAll="0"/>
    <pivotField showAll="0">
      <items count="7">
        <item x="4"/>
        <item x="1"/>
        <item x="3"/>
        <item x="2"/>
        <item x="0"/>
        <item h="1" x="5"/>
        <item t="default"/>
      </items>
    </pivotField>
    <pivotField showAll="0">
      <items count="7">
        <item x="0"/>
        <item x="1"/>
        <item x="4"/>
        <item x="2"/>
        <item x="3"/>
        <item x="5"/>
        <item t="default"/>
      </items>
    </pivotField>
    <pivotField showAll="0"/>
    <pivotField showAll="0"/>
    <pivotField showAll="0">
      <items count="5">
        <item x="1"/>
        <item x="0"/>
        <item x="2"/>
        <item h="1" x="3"/>
        <item t="default"/>
      </items>
    </pivotField>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70F0A9-0CED-40C5-BF1C-035A10A3C57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L10" firstHeaderRow="1" firstDataRow="2"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axis="axisCol" showAll="0">
      <items count="4">
        <item x="0"/>
        <item x="1"/>
        <item x="2"/>
        <item t="default"/>
      </items>
    </pivotField>
    <pivotField showAll="0"/>
    <pivotField axis="axisRow" showAll="0">
      <items count="7">
        <item x="0"/>
        <item x="1"/>
        <item x="2"/>
        <item x="4"/>
        <item x="3"/>
        <item h="1" x="5"/>
        <item t="default"/>
      </items>
    </pivotField>
    <pivotField showAll="0"/>
    <pivotField showAll="0">
      <items count="7">
        <item x="4"/>
        <item x="1"/>
        <item x="3"/>
        <item x="2"/>
        <item x="0"/>
        <item h="1" x="5"/>
        <item t="default"/>
      </items>
    </pivotField>
    <pivotField showAll="0">
      <items count="7">
        <item x="0"/>
        <item x="1"/>
        <item x="4"/>
        <item x="2"/>
        <item x="3"/>
        <item x="5"/>
        <item t="default"/>
      </items>
    </pivotField>
    <pivotField showAll="0"/>
    <pivotField showAll="0"/>
    <pivotField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F219A-6DD5-4D38-858E-BC9228FB982A}"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dataField="1"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axis="axisRow"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455084-BB5D-40DA-96FE-852780E2C36C}"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9" firstHeaderRow="0" firstDataRow="1" firstDataCol="1"/>
  <pivotFields count="21">
    <pivotField showAll="0"/>
    <pivotField showAll="0">
      <items count="51">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x="49"/>
        <item t="default"/>
      </items>
    </pivotField>
    <pivotField showAll="0">
      <items count="4">
        <item x="0"/>
        <item x="1"/>
        <item x="2"/>
        <item t="default"/>
      </items>
    </pivotField>
    <pivotField showAll="0"/>
    <pivotField showAll="0"/>
    <pivotField showAll="0"/>
    <pivotField axis="axisRow" showAll="0">
      <items count="7">
        <item x="4"/>
        <item x="1"/>
        <item x="3"/>
        <item x="2"/>
        <item x="0"/>
        <item h="1" x="5"/>
        <item t="default"/>
      </items>
    </pivotField>
    <pivotField showAll="0">
      <items count="7">
        <item x="0"/>
        <item x="1"/>
        <item x="4"/>
        <item x="2"/>
        <item x="3"/>
        <item x="5"/>
        <item t="default"/>
      </items>
    </pivotField>
    <pivotField showAll="0"/>
    <pivotField showAll="0"/>
    <pivotField showAll="0">
      <items count="5">
        <item x="1"/>
        <item x="0"/>
        <item x="2"/>
        <item h="1" x="3"/>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AE6DE5-9474-4D55-AF1D-B2F08D51C3FF}" sourceName="Gender">
  <pivotTables>
    <pivotTable tabId="4" name="PivotTable8"/>
    <pivotTable tabId="4" name="PivotTable1"/>
    <pivotTable tabId="4" name="PivotTable11"/>
    <pivotTable tabId="4" name="PivotTable2"/>
    <pivotTable tabId="4" name="PivotTable3"/>
    <pivotTable tabId="4" name="PivotTable4"/>
    <pivotTable tabId="4" name="PivotTable5"/>
  </pivotTables>
  <data>
    <tabular pivotCacheId="1183619525">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61706E8-9256-447D-B5D5-D3AA1E38FD93}" sourceName="Department">
  <pivotTables>
    <pivotTable tabId="4" name="PivotTable8"/>
    <pivotTable tabId="4" name="PivotTable1"/>
    <pivotTable tabId="4" name="PivotTable11"/>
    <pivotTable tabId="4" name="PivotTable2"/>
    <pivotTable tabId="4" name="PivotTable3"/>
    <pivotTable tabId="4" name="PivotTable4"/>
    <pivotTable tabId="4" name="PivotTable5"/>
  </pivotTables>
  <data>
    <tabular pivotCacheId="1183619525">
      <items count="6">
        <i x="0" s="1"/>
        <i x="1" s="1"/>
        <i x="4" s="1"/>
        <i x="2"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6B4022E-3639-4CED-9146-72DB41FAEC4D}" cache="Slicer_Gender" caption="Gender" rowHeight="257175"/>
  <slicer name="Department" xr10:uid="{B2159AD2-F889-4201-A446-BC6764A2912F}" cache="Slicer_Department" caption="Departmen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932D84C-85FF-4589-A7AC-620535498B58}" cache="Slicer_Gender" caption="Gender" columnCount="2" style="SlicerStyleLight1 2" rowHeight="257175"/>
  <slicer name="Department 1" xr10:uid="{105F9B31-BB32-4A70-BA9B-C056568A90FB}" cache="Slicer_Department" caption="Filter by Department" columnCount="2"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48" dataDxfId="47">
  <autoFilter ref="A1:U51" xr:uid="{BD7F130C-4931-4EC9-8AE2-A64F6556D3A3}"/>
  <tableColumns count="21">
    <tableColumn id="1" xr3:uid="{6BDBB43D-1DF4-4FF3-9C56-0E3D699A83FC}" name="Employee ID" dataDxfId="46"/>
    <tableColumn id="2" xr3:uid="{363D91B7-21AD-4B4B-86DE-95D24769EAA5}" name="Full Name" dataDxfId="45"/>
    <tableColumn id="3" xr3:uid="{728245EC-9766-45F5-9851-7FEFEFBE2652}" name="Gender" dataDxfId="44"/>
    <tableColumn id="4" xr3:uid="{DD8A90D1-163F-4B0E-A039-9E7A16AFC106}" name="Age" dataDxfId="43"/>
    <tableColumn id="5" xr3:uid="{0672993B-A00D-49AE-84B7-674089468A17}" name="Age range" dataDxfId="42"/>
    <tableColumn id="6" xr3:uid="{B1ADEE80-60F1-4EE3-B3FB-8484EE6C17B3}" name="Region" dataDxfId="41"/>
    <tableColumn id="7" xr3:uid="{8E0A56EE-3456-4513-ADA0-27F6CAA8C17B}" name="Job Title" dataDxfId="40"/>
    <tableColumn id="8" xr3:uid="{0D9D5DB9-01CB-4300-B0CD-256901621ADC}" name="Department" dataDxfId="39"/>
    <tableColumn id="9" xr3:uid="{9EBDAC3F-6A39-4A78-B562-848691EE3AD1}" name="Manager/Supervisor" dataDxfId="38"/>
    <tableColumn id="10" xr3:uid="{AF849F24-150A-4123-B3F8-A46B4D4F7BC6}" name="Date of Hire" dataDxfId="37"/>
    <tableColumn id="11" xr3:uid="{8C57202E-334A-462A-9C44-E5E2468122E4}" name="Employment Status" dataDxfId="36"/>
    <tableColumn id="12" xr3:uid="{8A07812C-245C-4D55-A210-3AE7E0BB84EB}" name="Work Location" dataDxfId="35"/>
    <tableColumn id="13" xr3:uid="{6441036C-01DD-4130-8E4B-DBA441BCB744}" name="Salary" dataDxfId="34"/>
    <tableColumn id="14" xr3:uid="{ADCF531A-A98E-422C-939D-04D58C2423FB}" name="Pay Grade" dataDxfId="33"/>
    <tableColumn id="15" xr3:uid="{DE922695-AE31-4F31-8F89-61E6E7E646AB}" name="Bonus/Allowances" dataDxfId="32"/>
    <tableColumn id="16" xr3:uid="{62F2B816-9954-4A01-AEDC-4C13B3A2A52F}" name="Insurance Details" dataDxfId="31"/>
    <tableColumn id="17" xr3:uid="{6EFEC335-9B75-45D5-B403-A8A9E557BE24}" name="Leave Taken" dataDxfId="30"/>
    <tableColumn id="18" xr3:uid="{9DA1B78E-154E-42E4-A1BC-FE1CF363DCBA}" name="Performance Rating" dataDxfId="29"/>
    <tableColumn id="19" xr3:uid="{7E4B5E79-5639-4E3A-91A1-D1D8767BB705}" name="Training Programs Attended" dataDxfId="28"/>
    <tableColumn id="20" xr3:uid="{2E731344-8C6D-4001-9E36-F16B80500F61}" name="Skills" dataDxfId="27"/>
    <tableColumn id="21" xr3:uid="{9DCE550B-F788-4423-B330-CAB70C041DFC}" name="Certifications" dataDxfId="2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1D18-86C8-44AB-A42E-B0669A726209}">
  <dimension ref="A2:AA22"/>
  <sheetViews>
    <sheetView topLeftCell="N1" workbookViewId="0">
      <selection activeCell="T25" sqref="T25"/>
    </sheetView>
  </sheetViews>
  <sheetFormatPr defaultRowHeight="15"/>
  <cols>
    <col min="1" max="1" width="13.42578125" customWidth="1"/>
    <col min="2" max="2" width="18.5703125" bestFit="1" customWidth="1"/>
    <col min="3" max="3" width="11.28515625" bestFit="1" customWidth="1"/>
    <col min="4" max="4" width="14.28515625" bestFit="1" customWidth="1"/>
    <col min="5" max="5" width="13.42578125" bestFit="1" customWidth="1"/>
    <col min="6" max="6" width="13.28515625" bestFit="1" customWidth="1"/>
    <col min="7" max="7" width="19" bestFit="1" customWidth="1"/>
    <col min="8" max="8" width="10.140625" customWidth="1"/>
    <col min="9" max="9" width="18.5703125" bestFit="1" customWidth="1"/>
    <col min="10" max="10" width="16.85546875" bestFit="1" customWidth="1"/>
    <col min="11" max="11" width="5.28515625" bestFit="1" customWidth="1"/>
    <col min="12" max="12" width="11.28515625" bestFit="1" customWidth="1"/>
    <col min="13" max="13" width="2.85546875" customWidth="1"/>
    <col min="14" max="14" width="5.28515625" customWidth="1"/>
    <col min="15" max="15" width="13.42578125" bestFit="1" customWidth="1"/>
    <col min="16" max="16" width="18.5703125" bestFit="1" customWidth="1"/>
    <col min="17" max="17" width="5.28515625" bestFit="1" customWidth="1"/>
    <col min="18" max="18" width="11.28515625" bestFit="1" customWidth="1"/>
    <col min="19" max="19" width="14" bestFit="1" customWidth="1"/>
    <col min="20" max="20" width="15.28515625" bestFit="1" customWidth="1"/>
    <col min="21" max="21" width="18.5703125" bestFit="1" customWidth="1"/>
    <col min="22" max="22" width="14.140625" bestFit="1" customWidth="1"/>
    <col min="23" max="23" width="13.42578125" bestFit="1" customWidth="1"/>
    <col min="24" max="24" width="18.5703125" bestFit="1" customWidth="1"/>
    <col min="25" max="25" width="11.28515625" bestFit="1" customWidth="1"/>
    <col min="26" max="26" width="13.42578125" bestFit="1" customWidth="1"/>
    <col min="27" max="27" width="29.140625" bestFit="1" customWidth="1"/>
    <col min="28" max="28" width="14.7109375" bestFit="1" customWidth="1"/>
    <col min="29" max="29" width="11.7109375" bestFit="1" customWidth="1"/>
    <col min="30" max="30" width="12.28515625" bestFit="1" customWidth="1"/>
    <col min="31" max="31" width="11" bestFit="1" customWidth="1"/>
    <col min="32" max="32" width="13.5703125" bestFit="1" customWidth="1"/>
    <col min="33" max="33" width="13.28515625" bestFit="1" customWidth="1"/>
    <col min="34" max="34" width="15" bestFit="1" customWidth="1"/>
    <col min="35" max="35" width="15.28515625" bestFit="1" customWidth="1"/>
    <col min="36" max="37" width="15.5703125" bestFit="1" customWidth="1"/>
    <col min="38" max="38" width="17.7109375" bestFit="1" customWidth="1"/>
    <col min="39" max="39" width="8.85546875" bestFit="1" customWidth="1"/>
    <col min="40" max="40" width="12.7109375" bestFit="1" customWidth="1"/>
    <col min="41" max="41" width="14.42578125" bestFit="1" customWidth="1"/>
    <col min="42" max="42" width="12.5703125" bestFit="1" customWidth="1"/>
    <col min="43" max="43" width="15.5703125" bestFit="1" customWidth="1"/>
    <col min="44" max="44" width="16.140625" bestFit="1" customWidth="1"/>
    <col min="45" max="45" width="13.28515625" bestFit="1" customWidth="1"/>
    <col min="46" max="47" width="15" bestFit="1" customWidth="1"/>
    <col min="48" max="48" width="15.85546875" bestFit="1" customWidth="1"/>
    <col min="49" max="49" width="12" bestFit="1" customWidth="1"/>
    <col min="50" max="50" width="14.140625" bestFit="1" customWidth="1"/>
    <col min="51" max="51" width="7.28515625" bestFit="1" customWidth="1"/>
    <col min="52" max="52" width="11.28515625" bestFit="1" customWidth="1"/>
  </cols>
  <sheetData>
    <row r="2" spans="1:27">
      <c r="A2" s="9" t="s">
        <v>217</v>
      </c>
      <c r="B2" s="10"/>
      <c r="E2" s="9" t="s">
        <v>220</v>
      </c>
      <c r="F2" s="10"/>
      <c r="I2" s="9" t="s">
        <v>222</v>
      </c>
      <c r="J2" s="10"/>
      <c r="K2" s="10"/>
      <c r="L2" s="10"/>
      <c r="M2" s="10"/>
      <c r="O2" s="9" t="s">
        <v>223</v>
      </c>
      <c r="P2" s="10"/>
      <c r="T2" s="12" t="s">
        <v>19</v>
      </c>
      <c r="U2" s="10"/>
      <c r="W2" s="12" t="s">
        <v>226</v>
      </c>
      <c r="X2" s="10"/>
      <c r="Z2" s="12" t="s">
        <v>227</v>
      </c>
      <c r="AA2" s="10"/>
    </row>
    <row r="3" spans="1:27">
      <c r="A3" s="5" t="s">
        <v>214</v>
      </c>
      <c r="B3" t="s">
        <v>216</v>
      </c>
      <c r="E3" s="5" t="s">
        <v>214</v>
      </c>
      <c r="F3" t="s">
        <v>219</v>
      </c>
      <c r="G3" t="s">
        <v>225</v>
      </c>
      <c r="I3" s="5" t="s">
        <v>216</v>
      </c>
      <c r="J3" s="5" t="s">
        <v>221</v>
      </c>
      <c r="O3" s="5" t="s">
        <v>214</v>
      </c>
      <c r="P3" t="s">
        <v>216</v>
      </c>
      <c r="T3" s="5" t="s">
        <v>214</v>
      </c>
      <c r="U3" t="s">
        <v>216</v>
      </c>
      <c r="W3" s="5" t="s">
        <v>214</v>
      </c>
      <c r="X3" t="s">
        <v>216</v>
      </c>
      <c r="Z3" s="5" t="s">
        <v>214</v>
      </c>
      <c r="AA3" t="s">
        <v>228</v>
      </c>
    </row>
    <row r="4" spans="1:27">
      <c r="A4" s="6" t="s">
        <v>63</v>
      </c>
      <c r="B4" s="11">
        <v>17</v>
      </c>
      <c r="E4" s="6" t="s">
        <v>121</v>
      </c>
      <c r="F4" s="11">
        <v>167041</v>
      </c>
      <c r="G4" s="11">
        <v>28</v>
      </c>
      <c r="I4" s="5" t="s">
        <v>214</v>
      </c>
      <c r="J4" t="s">
        <v>22</v>
      </c>
      <c r="K4" t="s">
        <v>37</v>
      </c>
      <c r="L4" t="s">
        <v>215</v>
      </c>
      <c r="O4" s="6" t="s">
        <v>44</v>
      </c>
      <c r="P4" s="11">
        <v>23</v>
      </c>
      <c r="T4" s="6" t="s">
        <v>75</v>
      </c>
      <c r="U4" s="11">
        <v>12</v>
      </c>
      <c r="W4" s="6" t="s">
        <v>39</v>
      </c>
      <c r="X4" s="11">
        <v>14</v>
      </c>
      <c r="Z4" s="6" t="s">
        <v>26</v>
      </c>
      <c r="AA4" s="13">
        <v>2.5833333333333335</v>
      </c>
    </row>
    <row r="5" spans="1:27">
      <c r="A5" s="6" t="s">
        <v>29</v>
      </c>
      <c r="B5" s="11">
        <v>20</v>
      </c>
      <c r="E5" s="6" t="s">
        <v>40</v>
      </c>
      <c r="F5" s="11">
        <v>613842</v>
      </c>
      <c r="G5" s="11">
        <v>110</v>
      </c>
      <c r="I5" s="6" t="s">
        <v>23</v>
      </c>
      <c r="J5" s="11">
        <v>6</v>
      </c>
      <c r="K5" s="11">
        <v>3</v>
      </c>
      <c r="L5" s="11">
        <v>9</v>
      </c>
      <c r="O5" s="6" t="s">
        <v>30</v>
      </c>
      <c r="P5" s="11">
        <v>8</v>
      </c>
      <c r="T5" s="6" t="s">
        <v>34</v>
      </c>
      <c r="U5" s="11">
        <v>11</v>
      </c>
      <c r="W5" s="6" t="s">
        <v>24</v>
      </c>
      <c r="X5" s="11">
        <v>10</v>
      </c>
      <c r="Z5" s="6" t="s">
        <v>41</v>
      </c>
      <c r="AA5" s="13">
        <v>3.3</v>
      </c>
    </row>
    <row r="6" spans="1:27">
      <c r="A6" s="6" t="s">
        <v>111</v>
      </c>
      <c r="B6" s="11">
        <v>13</v>
      </c>
      <c r="E6" s="6" t="s">
        <v>72</v>
      </c>
      <c r="F6" s="11">
        <v>633594</v>
      </c>
      <c r="G6" s="11">
        <v>104</v>
      </c>
      <c r="I6" s="6" t="s">
        <v>38</v>
      </c>
      <c r="J6" s="11">
        <v>7</v>
      </c>
      <c r="K6" s="11">
        <v>6</v>
      </c>
      <c r="L6" s="11">
        <v>13</v>
      </c>
      <c r="O6" s="6" t="s">
        <v>54</v>
      </c>
      <c r="P6" s="11">
        <v>19</v>
      </c>
      <c r="T6" s="6" t="s">
        <v>96</v>
      </c>
      <c r="U6" s="11">
        <v>7</v>
      </c>
      <c r="W6" s="6" t="s">
        <v>102</v>
      </c>
      <c r="X6" s="11">
        <v>7</v>
      </c>
      <c r="Z6" s="6" t="s">
        <v>81</v>
      </c>
      <c r="AA6" s="13">
        <v>2.25</v>
      </c>
    </row>
    <row r="7" spans="1:27">
      <c r="A7" s="6" t="s">
        <v>215</v>
      </c>
      <c r="B7" s="11">
        <v>50</v>
      </c>
      <c r="E7" s="6" t="s">
        <v>50</v>
      </c>
      <c r="F7" s="11">
        <v>959266</v>
      </c>
      <c r="G7" s="11">
        <v>123</v>
      </c>
      <c r="I7" s="6" t="s">
        <v>59</v>
      </c>
      <c r="J7" s="11">
        <v>5</v>
      </c>
      <c r="K7" s="11">
        <v>7</v>
      </c>
      <c r="L7" s="11">
        <v>12</v>
      </c>
      <c r="O7" s="6" t="s">
        <v>215</v>
      </c>
      <c r="P7" s="11">
        <v>50</v>
      </c>
      <c r="T7" s="6" t="s">
        <v>56</v>
      </c>
      <c r="U7" s="11">
        <v>11</v>
      </c>
      <c r="W7" s="6" t="s">
        <v>80</v>
      </c>
      <c r="X7" s="11">
        <v>10</v>
      </c>
      <c r="Z7" s="6" t="s">
        <v>51</v>
      </c>
      <c r="AA7" s="13">
        <v>2.3636363636363638</v>
      </c>
    </row>
    <row r="8" spans="1:27">
      <c r="E8" s="6" t="s">
        <v>25</v>
      </c>
      <c r="F8" s="11">
        <v>731170</v>
      </c>
      <c r="G8" s="11">
        <v>122</v>
      </c>
      <c r="I8" s="6" t="s">
        <v>98</v>
      </c>
      <c r="J8" s="11">
        <v>4</v>
      </c>
      <c r="K8" s="11">
        <v>3</v>
      </c>
      <c r="L8" s="11">
        <v>7</v>
      </c>
      <c r="T8" s="6" t="s">
        <v>66</v>
      </c>
      <c r="U8" s="11">
        <v>9</v>
      </c>
      <c r="W8" s="6" t="s">
        <v>49</v>
      </c>
      <c r="X8" s="11">
        <v>9</v>
      </c>
      <c r="Z8" s="6" t="s">
        <v>60</v>
      </c>
      <c r="AA8" s="13">
        <v>2.5555555555555554</v>
      </c>
    </row>
    <row r="9" spans="1:27">
      <c r="E9" s="6" t="s">
        <v>215</v>
      </c>
      <c r="F9" s="11">
        <v>3104913</v>
      </c>
      <c r="G9" s="11">
        <v>487</v>
      </c>
      <c r="I9" s="6" t="s">
        <v>68</v>
      </c>
      <c r="J9" s="11">
        <v>4</v>
      </c>
      <c r="K9" s="11">
        <v>5</v>
      </c>
      <c r="L9" s="11">
        <v>9</v>
      </c>
      <c r="T9" s="6" t="s">
        <v>215</v>
      </c>
      <c r="U9" s="11">
        <v>50</v>
      </c>
      <c r="W9" s="6" t="s">
        <v>215</v>
      </c>
      <c r="X9" s="11">
        <v>50</v>
      </c>
      <c r="Z9" s="6" t="s">
        <v>224</v>
      </c>
      <c r="AA9" s="13"/>
    </row>
    <row r="10" spans="1:27">
      <c r="A10" s="6" t="s">
        <v>63</v>
      </c>
      <c r="B10">
        <f>GETPIVOTDATA("Full Name",$A$3,"Employment Status",A10)</f>
        <v>17</v>
      </c>
      <c r="I10" s="6" t="s">
        <v>215</v>
      </c>
      <c r="J10" s="11">
        <v>26</v>
      </c>
      <c r="K10" s="11">
        <v>24</v>
      </c>
      <c r="L10" s="11">
        <v>50</v>
      </c>
      <c r="Z10" s="6" t="s">
        <v>215</v>
      </c>
      <c r="AA10" s="11">
        <v>2.62</v>
      </c>
    </row>
    <row r="11" spans="1:27">
      <c r="A11" s="6" t="s">
        <v>29</v>
      </c>
      <c r="B11">
        <f t="shared" ref="B11:B12" si="0">GETPIVOTDATA("Full Name",$A$3,"Employment Status",A11)</f>
        <v>20</v>
      </c>
      <c r="E11" s="6" t="s">
        <v>121</v>
      </c>
      <c r="F11">
        <f>GETPIVOTDATA("Salary",$E$3,"Job Title",E11)</f>
        <v>167041</v>
      </c>
      <c r="G11">
        <f>GETPIVOTDATA("Sum of Leave Taken",$E$3,"Job Title",E11)</f>
        <v>28</v>
      </c>
      <c r="O11" s="6" t="s">
        <v>44</v>
      </c>
      <c r="P11">
        <f>GETPIVOTDATA("Full Name",$O$3,"Work Location",O11)</f>
        <v>23</v>
      </c>
      <c r="Q11" s="7">
        <f>SUM(P11)/SUM($P$11:$P$13)</f>
        <v>0.46</v>
      </c>
      <c r="R11" s="8">
        <f>1-(P11/P14)</f>
        <v>0.54</v>
      </c>
    </row>
    <row r="12" spans="1:27">
      <c r="A12" s="6" t="s">
        <v>111</v>
      </c>
      <c r="B12">
        <f t="shared" si="0"/>
        <v>13</v>
      </c>
      <c r="E12" s="6" t="s">
        <v>40</v>
      </c>
      <c r="F12">
        <f t="shared" ref="F12:F15" si="1">GETPIVOTDATA("Salary",$E$3,"Job Title",E12)</f>
        <v>613842</v>
      </c>
      <c r="G12">
        <f t="shared" ref="G12:G15" si="2">GETPIVOTDATA("Sum of Leave Taken",$E$3,"Job Title",E12)</f>
        <v>110</v>
      </c>
      <c r="O12" s="6" t="s">
        <v>30</v>
      </c>
      <c r="P12">
        <f t="shared" ref="P12:P13" si="3">GETPIVOTDATA("Full Name",$O$3,"Work Location",O12)</f>
        <v>8</v>
      </c>
      <c r="Q12" s="7">
        <f t="shared" ref="Q12:Q13" si="4">SUM(P12)/SUM($P$11:$P$13)</f>
        <v>0.16</v>
      </c>
      <c r="R12" s="8">
        <f>1-(P12/P14)</f>
        <v>0.84</v>
      </c>
      <c r="T12" s="6" t="s">
        <v>75</v>
      </c>
      <c r="U12">
        <f>GETPIVOTDATA("Full Name",$T$3,"Skills",T12)</f>
        <v>12</v>
      </c>
      <c r="W12" s="6" t="s">
        <v>39</v>
      </c>
      <c r="X12">
        <f>GETPIVOTDATA("Full Name",$W$3,"Region",W12)</f>
        <v>14</v>
      </c>
      <c r="Z12" s="6" t="s">
        <v>26</v>
      </c>
      <c r="AA12" s="13">
        <f>GETPIVOTDATA("Performance Rating",$Z$3,"Department",Z12)</f>
        <v>2.5833333333333335</v>
      </c>
    </row>
    <row r="13" spans="1:27">
      <c r="A13" s="6" t="s">
        <v>218</v>
      </c>
      <c r="B13">
        <f>GETPIVOTDATA("Full Name",$A$3)</f>
        <v>50</v>
      </c>
      <c r="E13" s="6" t="s">
        <v>72</v>
      </c>
      <c r="F13">
        <f t="shared" si="1"/>
        <v>633594</v>
      </c>
      <c r="G13">
        <f t="shared" si="2"/>
        <v>104</v>
      </c>
      <c r="I13" s="6" t="s">
        <v>23</v>
      </c>
      <c r="J13">
        <f>GETPIVOTDATA("Full Name",$I$3,"Age range",I13)</f>
        <v>9</v>
      </c>
      <c r="O13" s="6" t="s">
        <v>54</v>
      </c>
      <c r="P13">
        <f t="shared" si="3"/>
        <v>19</v>
      </c>
      <c r="Q13" s="7">
        <f t="shared" si="4"/>
        <v>0.38</v>
      </c>
      <c r="R13" s="8">
        <f>1-(P13/P14)</f>
        <v>0.62</v>
      </c>
      <c r="T13" s="6" t="s">
        <v>34</v>
      </c>
      <c r="U13">
        <f t="shared" ref="U13:U16" si="5">GETPIVOTDATA("Full Name",$T$3,"Skills",T13)</f>
        <v>11</v>
      </c>
      <c r="W13" s="6" t="s">
        <v>24</v>
      </c>
      <c r="X13">
        <f t="shared" ref="X13:X17" si="6">GETPIVOTDATA("Full Name",$W$3,"Region",W13)</f>
        <v>10</v>
      </c>
      <c r="Z13" s="6" t="s">
        <v>41</v>
      </c>
      <c r="AA13" s="13">
        <f t="shared" ref="AA13:AA17" si="7">GETPIVOTDATA("Performance Rating",$Z$3,"Department",Z13)</f>
        <v>3.3</v>
      </c>
    </row>
    <row r="14" spans="1:27">
      <c r="E14" s="6" t="s">
        <v>50</v>
      </c>
      <c r="F14">
        <f t="shared" si="1"/>
        <v>959266</v>
      </c>
      <c r="G14">
        <f t="shared" si="2"/>
        <v>123</v>
      </c>
      <c r="I14" s="6" t="s">
        <v>38</v>
      </c>
      <c r="J14">
        <f t="shared" ref="J14:J17" si="8">GETPIVOTDATA("Full Name",$I$3,"Age range",I14)</f>
        <v>13</v>
      </c>
      <c r="O14" s="6" t="s">
        <v>218</v>
      </c>
      <c r="P14">
        <f>GETPIVOTDATA("Full Name",$O$3)</f>
        <v>50</v>
      </c>
      <c r="T14" s="6" t="s">
        <v>96</v>
      </c>
      <c r="U14">
        <f t="shared" si="5"/>
        <v>7</v>
      </c>
      <c r="W14" s="6" t="s">
        <v>102</v>
      </c>
      <c r="X14">
        <f t="shared" si="6"/>
        <v>7</v>
      </c>
      <c r="Z14" s="6" t="s">
        <v>81</v>
      </c>
      <c r="AA14" s="13">
        <f t="shared" si="7"/>
        <v>2.25</v>
      </c>
    </row>
    <row r="15" spans="1:27">
      <c r="E15" s="6" t="s">
        <v>25</v>
      </c>
      <c r="F15">
        <f t="shared" si="1"/>
        <v>731170</v>
      </c>
      <c r="G15">
        <f t="shared" si="2"/>
        <v>122</v>
      </c>
      <c r="I15" s="6" t="s">
        <v>59</v>
      </c>
      <c r="J15">
        <f t="shared" si="8"/>
        <v>12</v>
      </c>
      <c r="T15" s="6" t="s">
        <v>56</v>
      </c>
      <c r="U15">
        <f t="shared" si="5"/>
        <v>11</v>
      </c>
      <c r="W15" s="6" t="s">
        <v>80</v>
      </c>
      <c r="X15">
        <f t="shared" si="6"/>
        <v>10</v>
      </c>
      <c r="Z15" s="6" t="s">
        <v>51</v>
      </c>
      <c r="AA15" s="13">
        <f t="shared" si="7"/>
        <v>2.3636363636363638</v>
      </c>
    </row>
    <row r="16" spans="1:27">
      <c r="E16" s="6" t="s">
        <v>218</v>
      </c>
      <c r="F16">
        <f>GETPIVOTDATA("Salary",$E$3)</f>
        <v>3104913</v>
      </c>
      <c r="G16">
        <f>GETPIVOTDATA("Sum of Leave Taken",$E$3)</f>
        <v>487</v>
      </c>
      <c r="I16" s="6" t="s">
        <v>98</v>
      </c>
      <c r="J16">
        <f t="shared" si="8"/>
        <v>7</v>
      </c>
      <c r="T16" s="6" t="s">
        <v>66</v>
      </c>
      <c r="U16">
        <f t="shared" si="5"/>
        <v>9</v>
      </c>
      <c r="W16" s="6" t="s">
        <v>49</v>
      </c>
      <c r="X16">
        <f t="shared" si="6"/>
        <v>9</v>
      </c>
      <c r="Z16" s="6" t="s">
        <v>60</v>
      </c>
      <c r="AA16" s="13">
        <f t="shared" si="7"/>
        <v>2.5555555555555554</v>
      </c>
    </row>
    <row r="17" spans="9:27">
      <c r="I17" s="6" t="s">
        <v>68</v>
      </c>
      <c r="J17">
        <f t="shared" si="8"/>
        <v>9</v>
      </c>
      <c r="W17" s="6" t="s">
        <v>218</v>
      </c>
      <c r="X17">
        <f>GETPIVOTDATA("Full Name",$W$3)</f>
        <v>50</v>
      </c>
      <c r="Z17" s="6" t="s">
        <v>218</v>
      </c>
      <c r="AA17" s="14">
        <f>AVERAGE(AA12:AA16)</f>
        <v>2.6105050505050502</v>
      </c>
    </row>
    <row r="18" spans="9:27">
      <c r="I18" s="6" t="s">
        <v>218</v>
      </c>
      <c r="J18">
        <f>GETPIVOTDATA("Full Name",$I$3)</f>
        <v>50</v>
      </c>
    </row>
    <row r="20" spans="9:27">
      <c r="I20" s="6" t="s">
        <v>37</v>
      </c>
      <c r="J20">
        <f>GETPIVOTDATA("Full Name",$I$3,"Gender","Male")</f>
        <v>24</v>
      </c>
      <c r="K20" s="7">
        <f t="shared" ref="K20:K21" si="9">SUM(J20)/SUM($J$20:$J$21)</f>
        <v>0.48</v>
      </c>
      <c r="L20" s="8">
        <f>J21/GETPIVOTDATA("Full Name",$I$3)</f>
        <v>0.52</v>
      </c>
    </row>
    <row r="21" spans="9:27">
      <c r="I21" s="6" t="s">
        <v>22</v>
      </c>
      <c r="J21">
        <f>GETPIVOTDATA("Full Name",$I$3,"Gender","Female")</f>
        <v>26</v>
      </c>
      <c r="K21" s="7">
        <f t="shared" si="9"/>
        <v>0.52</v>
      </c>
      <c r="L21" s="8">
        <f>J20/GETPIVOTDATA("Full Name",$I$3)</f>
        <v>0.48</v>
      </c>
    </row>
    <row r="22" spans="9:27">
      <c r="I22" s="6" t="s">
        <v>218</v>
      </c>
      <c r="J22">
        <f>GETPIVOTDATA("Full Name",$I$3)</f>
        <v>50</v>
      </c>
    </row>
  </sheetData>
  <mergeCells count="7">
    <mergeCell ref="W2:X2"/>
    <mergeCell ref="Z2:AA2"/>
    <mergeCell ref="A2:B2"/>
    <mergeCell ref="E2:F2"/>
    <mergeCell ref="I2:M2"/>
    <mergeCell ref="O2:P2"/>
    <mergeCell ref="T2:U2"/>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2" workbookViewId="0">
      <selection sqref="A1:U1048576"/>
    </sheetView>
  </sheetViews>
  <sheetFormatPr defaultRowHeight="14.25"/>
  <cols>
    <col min="1" max="1" width="17.7109375" style="2" bestFit="1" customWidth="1"/>
    <col min="2" max="2" width="18.140625" style="2" bestFit="1" customWidth="1"/>
    <col min="3" max="3" width="12.85546875" style="2" bestFit="1" customWidth="1"/>
    <col min="4" max="4" width="9.5703125" style="2" bestFit="1" customWidth="1"/>
    <col min="5" max="5" width="15.85546875" style="2" bestFit="1" customWidth="1"/>
    <col min="6" max="6" width="12.28515625" style="2" bestFit="1" customWidth="1"/>
    <col min="7" max="7" width="14.140625" style="2" bestFit="1" customWidth="1"/>
    <col min="8" max="8" width="17.42578125" style="2" bestFit="1" customWidth="1"/>
    <col min="9" max="9" width="25.7109375" style="2" bestFit="1" customWidth="1"/>
    <col min="10" max="10" width="18" style="2" bestFit="1" customWidth="1"/>
    <col min="11" max="11" width="25" style="2" bestFit="1" customWidth="1"/>
    <col min="12" max="12" width="20.28515625" style="2" bestFit="1" customWidth="1"/>
    <col min="13" max="13" width="11.85546875" style="2" bestFit="1" customWidth="1"/>
    <col min="14" max="14" width="16.140625" style="2" bestFit="1" customWidth="1"/>
    <col min="15" max="15" width="24" style="2" bestFit="1" customWidth="1"/>
    <col min="16" max="16" width="22.7109375" style="2" bestFit="1" customWidth="1"/>
    <col min="17" max="17" width="18.140625" style="2" bestFit="1" customWidth="1"/>
    <col min="18" max="18" width="25.42578125" style="2" bestFit="1" customWidth="1"/>
    <col min="19" max="19" width="34" style="2" bestFit="1" customWidth="1"/>
    <col min="20" max="20" width="16" style="2" bestFit="1" customWidth="1"/>
    <col min="21" max="21" width="21.140625" style="2" bestFit="1" customWidth="1"/>
    <col min="22" max="16384" width="9.1406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6565E-DA78-444C-8293-B2BB1514CDE4}">
  <dimension ref="A1"/>
  <sheetViews>
    <sheetView showGridLines="0" tabSelected="1" workbookViewId="0">
      <selection activeCell="X13" sqref="X13"/>
    </sheetView>
  </sheetViews>
  <sheetFormatPr defaultRowHeight="1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Vivek Bhatt</cp:lastModifiedBy>
  <dcterms:created xsi:type="dcterms:W3CDTF">2024-12-11T17:14:33Z</dcterms:created>
  <dcterms:modified xsi:type="dcterms:W3CDTF">2026-06-26T04:56:24Z</dcterms:modified>
</cp:coreProperties>
</file>